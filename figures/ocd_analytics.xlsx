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elbhatt/Desktop/"/>
    </mc:Choice>
  </mc:AlternateContent>
  <xr:revisionPtr revIDLastSave="0" documentId="8_{FABDD206-72F8-2044-BCF3-AB604DE1CD15}" xr6:coauthVersionLast="47" xr6:coauthVersionMax="47" xr10:uidLastSave="{00000000-0000-0000-0000-000000000000}"/>
  <bookViews>
    <workbookView xWindow="360" yWindow="620" windowWidth="28040" windowHeight="16060" xr2:uid="{96008187-146C-5D4B-B752-6DF15A63DC3A}"/>
  </bookViews>
  <sheets>
    <sheet name="Sheet3" sheetId="3" r:id="rId1"/>
    <sheet name="Sheet1" sheetId="1" r:id="rId2"/>
  </sheets>
  <calcPr calcId="181029"/>
  <pivotCaches>
    <pivotCache cacheId="9" r:id="rId3"/>
    <pivotCache cacheId="22" r:id="rId4"/>
    <pivotCache cacheId="3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2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</calcChain>
</file>

<file path=xl/sharedStrings.xml><?xml version="1.0" encoding="utf-8"?>
<sst xmlns="http://schemas.openxmlformats.org/spreadsheetml/2006/main" count="745" uniqueCount="67">
  <si>
    <t>Patient ID</t>
  </si>
  <si>
    <t>Age</t>
  </si>
  <si>
    <t>Gender</t>
  </si>
  <si>
    <t>Ethnicity</t>
  </si>
  <si>
    <t>Marital Status</t>
  </si>
  <si>
    <t>Education Level</t>
  </si>
  <si>
    <t>OCD Diagnosis Date</t>
  </si>
  <si>
    <t>Duration of Symptoms (months)</t>
  </si>
  <si>
    <t>Previous Diagnoses</t>
  </si>
  <si>
    <t>Family History of OCD</t>
  </si>
  <si>
    <t>Obsession Type</t>
  </si>
  <si>
    <t>Compulsion Type</t>
  </si>
  <si>
    <t>Y-BOCS Score (Obsessions)</t>
  </si>
  <si>
    <t>Y-BOCS Score (Compulsions)</t>
  </si>
  <si>
    <t>Depression Diagnosis</t>
  </si>
  <si>
    <t>Anxiety Diagnosis</t>
  </si>
  <si>
    <t>Medications</t>
  </si>
  <si>
    <t>Female</t>
  </si>
  <si>
    <t>African</t>
  </si>
  <si>
    <t>Single</t>
  </si>
  <si>
    <t>Some College</t>
  </si>
  <si>
    <t>MDD</t>
  </si>
  <si>
    <t>No</t>
  </si>
  <si>
    <t>Harm-related</t>
  </si>
  <si>
    <t>Checking</t>
  </si>
  <si>
    <t>Yes</t>
  </si>
  <si>
    <t>SNRI</t>
  </si>
  <si>
    <t>Male</t>
  </si>
  <si>
    <t>Divorced</t>
  </si>
  <si>
    <t>None</t>
  </si>
  <si>
    <t>Washing</t>
  </si>
  <si>
    <t>SSRI</t>
  </si>
  <si>
    <t>Hispanic</t>
  </si>
  <si>
    <t>College Degree</t>
  </si>
  <si>
    <t>Contamination</t>
  </si>
  <si>
    <t>Benzodiazepine</t>
  </si>
  <si>
    <t>Married</t>
  </si>
  <si>
    <t>PTSD</t>
  </si>
  <si>
    <t>Symmetry</t>
  </si>
  <si>
    <t>High School</t>
  </si>
  <si>
    <t>Hoarding</t>
  </si>
  <si>
    <t>Ordering</t>
  </si>
  <si>
    <t>Asian</t>
  </si>
  <si>
    <t>GAD</t>
  </si>
  <si>
    <t>Praying</t>
  </si>
  <si>
    <t>Religious</t>
  </si>
  <si>
    <t>Graduate Degree</t>
  </si>
  <si>
    <t>Counting</t>
  </si>
  <si>
    <t>Panic Disorder</t>
  </si>
  <si>
    <t>Caucasian</t>
  </si>
  <si>
    <t>Row Labels</t>
  </si>
  <si>
    <t>Grand Total</t>
  </si>
  <si>
    <t>Average of Y-BOCS Score (Obsessions)</t>
  </si>
  <si>
    <t>Average of Y-BOCS Score (Compulsions)</t>
  </si>
  <si>
    <t xml:space="preserve">Age Group </t>
  </si>
  <si>
    <t>30–50</t>
  </si>
  <si>
    <t>Over 50</t>
  </si>
  <si>
    <t>Under 30</t>
  </si>
  <si>
    <t>Column Labels</t>
  </si>
  <si>
    <t>Avg Obsession Severity</t>
  </si>
  <si>
    <t>Total OCD Severity</t>
  </si>
  <si>
    <t>Duration Band</t>
  </si>
  <si>
    <t>&gt;10 yrs</t>
  </si>
  <si>
    <t>0–5 yrs</t>
  </si>
  <si>
    <t>5–10 yrs</t>
  </si>
  <si>
    <t>Average of Total OCD Severity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</si>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</sst>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OCD Severity by Gender (Y-BOCS)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24.03125</c:v>
                </c:pt>
                <c:pt idx="1">
                  <c:v>20.964285714285715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7E4C-B451-A487972BD8C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Sheet3!$C$4:$C$6</c:f>
              <c:numCache>
                <c:formatCode>General</c:formatCode>
                <c:ptCount val="2"/>
                <c:pt idx="0">
                  <c:v>22.28125</c:v>
                </c:pt>
                <c:pt idx="1">
                  <c:v>15.964285714285714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A-7E4C-B451-A487972B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900672"/>
        <c:axId val="971903360"/>
      </c:barChart>
      <c:catAx>
        <c:axId val="971900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Gender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03360"/>
        <c:crosses val="autoZero"/>
        <c:auto val="1"/>
        <c:lblAlgn val="ctr"/>
        <c:lblOffset val="100"/>
        <c:noMultiLvlLbl val="0"/>
      </c:catAx>
      <c:valAx>
        <c:axId val="97190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Number of Patients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9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OCD Severity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Sheet3!$F$3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Sheet3!$E$4:$E$7</c:f>
              <c:strCache>
                <c:ptCount val="3"/>
                <c:pt idx="0">
                  <c:v>30–50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Sheet3!$F$4:$F$7</c:f>
              <c:numCache>
                <c:formatCode>General</c:formatCode>
                <c:ptCount val="3"/>
                <c:pt idx="0">
                  <c:v>23.315789473684209</c:v>
                </c:pt>
                <c:pt idx="1">
                  <c:v>20.64</c:v>
                </c:pt>
                <c:pt idx="2">
                  <c:v>24.8125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3-8A4D-9045-3A9441E765A3}"/>
            </c:ext>
          </c:extLst>
        </c:ser>
        <c:ser>
          <c:idx val="1"/>
          <c:order val="1"/>
          <c:tx>
            <c:strRef>
              <c:f>Sheet3!$G$3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Sheet3!$E$4:$E$7</c:f>
              <c:strCache>
                <c:ptCount val="3"/>
                <c:pt idx="0">
                  <c:v>30–50</c:v>
                </c:pt>
                <c:pt idx="1">
                  <c:v>Over 50</c:v>
                </c:pt>
                <c:pt idx="2">
                  <c:v>Under 30</c:v>
                </c:pt>
              </c:strCache>
            </c:strRef>
          </c:cat>
          <c:val>
            <c:numRef>
              <c:f>Sheet3!$G$4:$G$7</c:f>
              <c:numCache>
                <c:formatCode>General</c:formatCode>
                <c:ptCount val="3"/>
                <c:pt idx="0">
                  <c:v>22.789473684210527</c:v>
                </c:pt>
                <c:pt idx="1">
                  <c:v>19.920000000000002</c:v>
                </c:pt>
                <c:pt idx="2">
                  <c:v>14.3125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3-8A4D-9045-3A9441E76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22176"/>
        <c:axId val="1020804416"/>
      </c:barChart>
      <c:catAx>
        <c:axId val="101972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Age Group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04416"/>
        <c:crosses val="autoZero"/>
        <c:auto val="1"/>
        <c:lblAlgn val="ctr"/>
        <c:lblOffset val="100"/>
        <c:noMultiLvlLbl val="0"/>
      </c:catAx>
      <c:valAx>
        <c:axId val="10208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OCD Severity by Depression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Sheet3!$B$25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Sheet3!$B$26:$B$28</c:f>
              <c:numCache>
                <c:formatCode>General</c:formatCode>
                <c:ptCount val="2"/>
                <c:pt idx="0">
                  <c:v>26.548387096774192</c:v>
                </c:pt>
                <c:pt idx="1">
                  <c:v>18.379310344827587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5-0E43-8870-763DA9F83394}"/>
            </c:ext>
          </c:extLst>
        </c:ser>
        <c:ser>
          <c:idx val="1"/>
          <c:order val="1"/>
          <c:tx>
            <c:strRef>
              <c:f>Sheet3!$C$25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Sheet3!$A$26:$A$28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Sheet3!$C$26:$C$28</c:f>
              <c:numCache>
                <c:formatCode>General</c:formatCode>
                <c:ptCount val="2"/>
                <c:pt idx="0">
                  <c:v>20.258064516129032</c:v>
                </c:pt>
                <c:pt idx="1">
                  <c:v>18.344827586206897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5-0E43-8870-763DA9F8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8597824"/>
        <c:axId val="1028600960"/>
      </c:barChart>
      <c:catAx>
        <c:axId val="102859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Depression Diagnosis (Yes /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600960"/>
        <c:crosses val="autoZero"/>
        <c:auto val="1"/>
        <c:lblAlgn val="ctr"/>
        <c:lblOffset val="100"/>
        <c:noMultiLvlLbl val="0"/>
      </c:catAx>
      <c:valAx>
        <c:axId val="10286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59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OCD Severity by Anxiety</a:t>
            </a:r>
            <a:r>
              <a:rPr lang="en-CA" baseline="0"/>
              <a:t> </a:t>
            </a:r>
            <a:r>
              <a:rPr lang="en-CA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Sheet3!$F$25</c:f>
              <c:strCache>
                <c:ptCount val="1"/>
                <c:pt idx="0">
                  <c:v>Average of Y-BOCS Score (Compulsions)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Sheet3!$E$26:$E$28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Sheet3!$F$26:$F$28</c:f>
              <c:numCache>
                <c:formatCode>General</c:formatCode>
                <c:ptCount val="2"/>
                <c:pt idx="0">
                  <c:v>18.54054054054054</c:v>
                </c:pt>
                <c:pt idx="1">
                  <c:v>20.608695652173914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C-1E41-98D8-F6849A17EC6A}"/>
            </c:ext>
          </c:extLst>
        </c:ser>
        <c:ser>
          <c:idx val="1"/>
          <c:order val="1"/>
          <c:tx>
            <c:strRef>
              <c:f>Sheet3!$G$25</c:f>
              <c:strCache>
                <c:ptCount val="1"/>
                <c:pt idx="0">
                  <c:v>Average of Y-BOCS Score (Obsessions)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Sheet3!$E$26:$E$28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Sheet3!$G$26:$G$28</c:f>
              <c:numCache>
                <c:formatCode>General</c:formatCode>
                <c:ptCount val="2"/>
                <c:pt idx="0">
                  <c:v>21.891891891891891</c:v>
                </c:pt>
                <c:pt idx="1">
                  <c:v>23.739130434782609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C-1E41-98D8-F6849A17E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097856"/>
        <c:axId val="929578304"/>
      </c:barChart>
      <c:catAx>
        <c:axId val="103109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Anxiety Diagnosis (Yes / No)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78304"/>
        <c:crosses val="autoZero"/>
        <c:auto val="1"/>
        <c:lblAlgn val="ctr"/>
        <c:lblOffset val="100"/>
        <c:noMultiLvlLbl val="0"/>
      </c:catAx>
      <c:valAx>
        <c:axId val="9295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9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baseline="0"/>
              <a:t>Average OCD Severity by Medication and Anxiety Status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Sheet3!$B$57:$B$58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Sheet3!$A$59:$A$63</c:f>
              <c:strCache>
                <c:ptCount val="4"/>
                <c:pt idx="0">
                  <c:v>SNRI</c:v>
                </c:pt>
                <c:pt idx="1">
                  <c:v>SSRI</c:v>
                </c:pt>
                <c:pt idx="2">
                  <c:v>Benzodiazepine</c:v>
                </c:pt>
                <c:pt idx="3">
                  <c:v>None</c:v>
                </c:pt>
              </c:strCache>
            </c:strRef>
          </c:cat>
          <c:val>
            <c:numRef>
              <c:f>Sheet3!$B$59:$B$63</c:f>
              <c:numCache>
                <c:formatCode>General</c:formatCode>
                <c:ptCount val="4"/>
                <c:pt idx="0">
                  <c:v>21.25</c:v>
                </c:pt>
                <c:pt idx="1">
                  <c:v>22.5</c:v>
                </c:pt>
                <c:pt idx="2">
                  <c:v>20.5</c:v>
                </c:pt>
                <c:pt idx="3">
                  <c:v>23.333333333333332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3-4B4F-B156-8F664790A4F4}"/>
            </c:ext>
          </c:extLst>
        </c:ser>
        <c:ser>
          <c:idx val="1"/>
          <c:order val="1"/>
          <c:tx>
            <c:strRef>
              <c:f>Sheet3!$C$57:$C$58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Sheet3!$A$59:$A$63</c:f>
              <c:strCache>
                <c:ptCount val="4"/>
                <c:pt idx="0">
                  <c:v>SNRI</c:v>
                </c:pt>
                <c:pt idx="1">
                  <c:v>SSRI</c:v>
                </c:pt>
                <c:pt idx="2">
                  <c:v>Benzodiazepine</c:v>
                </c:pt>
                <c:pt idx="3">
                  <c:v>None</c:v>
                </c:pt>
              </c:strCache>
            </c:strRef>
          </c:cat>
          <c:val>
            <c:numRef>
              <c:f>Sheet3!$C$59:$C$63</c:f>
              <c:numCache>
                <c:formatCode>General</c:formatCode>
                <c:ptCount val="4"/>
                <c:pt idx="0">
                  <c:v>15.75</c:v>
                </c:pt>
                <c:pt idx="1">
                  <c:v>19.399999999999999</c:v>
                </c:pt>
                <c:pt idx="2">
                  <c:v>25.555555555555557</c:v>
                </c:pt>
                <c:pt idx="3">
                  <c:v>31.2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3-4B4F-B156-8F664790A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360000"/>
        <c:axId val="1038558848"/>
      </c:barChart>
      <c:catAx>
        <c:axId val="103836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558848"/>
        <c:crosses val="autoZero"/>
        <c:auto val="1"/>
        <c:lblAlgn val="ctr"/>
        <c:lblOffset val="100"/>
        <c:noMultiLvlLbl val="0"/>
      </c:catAx>
      <c:valAx>
        <c:axId val="103855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800" b="1" i="0" u="none" strike="noStrike">
                    <a:effectLst/>
                  </a:rPr>
                  <a:t>Average of Y-BOCS Score </a:t>
                </a:r>
                <a:endParaRPr lang="en-CA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6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[ocd_analytics.xlsx]Sheet3!PivotTable11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0" i="0" u="none" strike="noStrike" baseline="0"/>
              <a:t>OCD Severity by Medication Class Across Disease Duration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Sheet3!$C$82:$C$83</c:f>
              <c:strCache>
                <c:ptCount val="1"/>
                <c:pt idx="0">
                  <c:v>&gt;10 yrs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Sheet3!$C$84:$C$88</c:f>
              <c:numCache>
                <c:formatCode>General</c:formatCode>
                <c:ptCount val="4"/>
                <c:pt idx="0">
                  <c:v>20.136363636363637</c:v>
                </c:pt>
                <c:pt idx="1">
                  <c:v>28.8</c:v>
                </c:pt>
                <c:pt idx="2">
                  <c:v>21.5</c:v>
                </c:pt>
                <c:pt idx="3">
                  <c:v>18.227272727272727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6-D847-8CA1-DA6663E7D2C9}"/>
            </c:ext>
          </c:extLst>
        </c:ser>
        <c:ser>
          <c:idx val="1"/>
          <c:order val="1"/>
          <c:tx>
            <c:strRef>
              <c:f>Sheet3!$D$82:$D$83</c:f>
              <c:strCache>
                <c:ptCount val="1"/>
                <c:pt idx="0">
                  <c:v>0–5 yrs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Sheet3!$D$84:$D$88</c:f>
              <c:numCache>
                <c:formatCode>General</c:formatCode>
                <c:ptCount val="4"/>
                <c:pt idx="0">
                  <c:v>20</c:v>
                </c:pt>
                <c:pt idx="1">
                  <c:v>18.166666666666668</c:v>
                </c:pt>
                <c:pt idx="2">
                  <c:v>16.5</c:v>
                </c:pt>
                <c:pt idx="3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6-D847-8CA1-DA6663E7D2C9}"/>
            </c:ext>
          </c:extLst>
        </c:ser>
        <c:ser>
          <c:idx val="2"/>
          <c:order val="2"/>
          <c:tx>
            <c:strRef>
              <c:f>Sheet3!$E$82:$E$83</c:f>
              <c:strCache>
                <c:ptCount val="1"/>
                <c:pt idx="0">
                  <c:v>5–10 yrs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Sheet3!$B$84:$B$88</c:f>
              <c:strCache>
                <c:ptCount val="4"/>
                <c:pt idx="0">
                  <c:v>Benzodiazepine</c:v>
                </c:pt>
                <c:pt idx="1">
                  <c:v>None</c:v>
                </c:pt>
                <c:pt idx="2">
                  <c:v>SNRI</c:v>
                </c:pt>
                <c:pt idx="3">
                  <c:v>SSRI</c:v>
                </c:pt>
              </c:strCache>
            </c:strRef>
          </c:cat>
          <c:val>
            <c:numRef>
              <c:f>Sheet3!$E$84:$E$88</c:f>
              <c:numCache>
                <c:formatCode>General</c:formatCode>
                <c:ptCount val="4"/>
                <c:pt idx="0">
                  <c:v>29</c:v>
                </c:pt>
                <c:pt idx="1">
                  <c:v>28.5</c:v>
                </c:pt>
                <c:pt idx="2">
                  <c:v>17.571428571428573</c:v>
                </c:pt>
                <c:pt idx="3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6-D847-8CA1-DA6663E7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206080"/>
        <c:axId val="1096215040"/>
      </c:barChart>
      <c:catAx>
        <c:axId val="109620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Medication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15040"/>
        <c:crosses val="autoZero"/>
        <c:auto val="1"/>
        <c:lblAlgn val="ctr"/>
        <c:lblOffset val="100"/>
        <c:noMultiLvlLbl val="0"/>
      </c:catAx>
      <c:valAx>
        <c:axId val="10962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Y-BOCS Total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381001</xdr:colOff>
      <xdr:row>7</xdr:row>
      <xdr:rowOff>84667</xdr:rowOff>
    </xdr:from>
    <xdr:to>
      <xdr:col>2</xdr:col>
      <xdr:colOff>1384301</xdr:colOff>
      <xdr:row>20</xdr:row>
      <xdr:rowOff>186267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07AFF-D863-C6C0-0F93-1699C75B0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636808</xdr:colOff>
      <xdr:row>8</xdr:row>
      <xdr:rowOff>25400</xdr:rowOff>
    </xdr:from>
    <xdr:to>
      <xdr:col>6</xdr:col>
      <xdr:colOff>1873179</xdr:colOff>
      <xdr:row>21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E3EF24-9885-A47A-8C79-6DF449A07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465666</xdr:colOff>
      <xdr:row>30</xdr:row>
      <xdr:rowOff>59267</xdr:rowOff>
    </xdr:from>
    <xdr:to>
      <xdr:col>2</xdr:col>
      <xdr:colOff>1426966</xdr:colOff>
      <xdr:row>43</xdr:row>
      <xdr:rowOff>160867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D17DBA-1EF4-8EE9-D1BE-06BBFAEE5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644324</xdr:colOff>
      <xdr:row>29</xdr:row>
      <xdr:rowOff>124337</xdr:rowOff>
    </xdr:from>
    <xdr:to>
      <xdr:col>6</xdr:col>
      <xdr:colOff>1575657</xdr:colOff>
      <xdr:row>43</xdr:row>
      <xdr:rowOff>22737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18FFA52-E351-63DD-BD7C-29F3DDE24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1765709</xdr:colOff>
      <xdr:row>44</xdr:row>
      <xdr:rowOff>152400</xdr:rowOff>
    </xdr:from>
    <xdr:to>
      <xdr:col>6</xdr:col>
      <xdr:colOff>381000</xdr:colOff>
      <xdr:row>46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574A559-F139-66DC-25AF-68577D8C578B}"/>
            </a:ext>
          </a:extLst>
        </xdr:cNvPr>
        <xdr:cNvSpPr txBox="1"/>
      </xdr:nvSpPr>
      <xdr:spPr>
        <a:xfrm>
          <a:off x="1765709" y="9093200"/>
          <a:ext cx="6387691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1400"/>
            <a:t>OCD Severity Heatmap – Average Y-BOCS Obsession Score</a:t>
          </a:r>
          <a:endParaRPr lang="en-US" sz="1400"/>
        </a:p>
      </xdr:txBody>
    </xdr:sp>
    <xdr:clientData/>
  </xdr:twoCellAnchor>
  <xdr:twoCellAnchor>
    <xdr:from>
      <xdr:col>0</xdr:col>
      <xdr:colOff>0</xdr:colOff>
      <xdr:row>63</xdr:row>
      <xdr:rowOff>197001</xdr:rowOff>
    </xdr:from>
    <xdr:to>
      <xdr:col>3</xdr:col>
      <xdr:colOff>875393</xdr:colOff>
      <xdr:row>77</xdr:row>
      <xdr:rowOff>82701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1F16FB8-F7F2-D5B3-29A5-241BD1FB8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452968</xdr:colOff>
      <xdr:row>89</xdr:row>
      <xdr:rowOff>63500</xdr:rowOff>
    </xdr:from>
    <xdr:to>
      <xdr:col>4</xdr:col>
      <xdr:colOff>918634</xdr:colOff>
      <xdr:row>102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0C791B8-BC48-D968-9B8D-47FC1063D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ocd_severity:-pharma_analytic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ocd_severity:-pharma_analytic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ocd_severity:-pharma_analytics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09455902778" createdVersion="8" refreshedVersion="8" minRefreshableVersion="3" recordCount="60" xr:uid="{CD4EE1D3-EDE0-6E4C-B007-BDF4732D172B}">
  <cacheSource type="worksheet">
    <worksheetSource ref="A1:Q61" sheet="Sheet1" r:id="rId2"/>
  </cacheSource>
  <cacheFields count="17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 count="40">
        <n v="32"/>
        <n v="69"/>
        <n v="57"/>
        <n v="27"/>
        <n v="56"/>
        <n v="38"/>
        <n v="36"/>
        <n v="72"/>
        <n v="21"/>
        <n v="73"/>
        <n v="23"/>
        <n v="68"/>
        <n v="48"/>
        <n v="29"/>
        <n v="25"/>
        <n v="55"/>
        <n v="50"/>
        <n v="66"/>
        <n v="62"/>
        <n v="28"/>
        <n v="43"/>
        <n v="47"/>
        <n v="74"/>
        <n v="60"/>
        <n v="22"/>
        <n v="24"/>
        <n v="70"/>
        <n v="33"/>
        <n v="41"/>
        <n v="58"/>
        <n v="65"/>
        <n v="49"/>
        <n v="37"/>
        <n v="63"/>
        <n v="46"/>
        <n v="31"/>
        <n v="64"/>
        <n v="54"/>
        <n v="61"/>
        <n v="19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/>
    </cacheField>
    <cacheField name="Compulsion Type" numFmtId="0">
      <sharedItems/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/>
    </cacheField>
    <cacheField name="Anxiety Diagnosis" numFmtId="0">
      <sharedItems/>
    </cacheField>
    <cacheField name="Med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27300694448" createdVersion="8" refreshedVersion="8" minRefreshableVersion="3" recordCount="60" xr:uid="{071AF45F-82D1-6B40-920B-2927047C6B7A}">
  <cacheSource type="worksheet">
    <worksheetSource ref="A1:R61" sheet="Sheet1" r:id="rId2"/>
  </cacheSource>
  <cacheFields count="18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/>
    </cacheField>
    <cacheField name="Gender" numFmtId="0">
      <sharedItems/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 count="5">
        <s v="Harm-related"/>
        <s v="Contamination"/>
        <s v="Symmetry"/>
        <s v="Hoarding"/>
        <s v="Religious"/>
      </sharedItems>
    </cacheField>
    <cacheField name="Compulsion Type" numFmtId="0">
      <sharedItems count="5">
        <s v="Checking"/>
        <s v="Washing"/>
        <s v="Ordering"/>
        <s v="Praying"/>
        <s v="Counting"/>
      </sharedItems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 count="2">
        <s v="Yes"/>
        <s v="No"/>
      </sharedItems>
    </cacheField>
    <cacheField name="Anxiety Diagnosis" numFmtId="0">
      <sharedItems count="2">
        <s v="Yes"/>
        <s v="No"/>
      </sharedItems>
    </cacheField>
    <cacheField name="Medications" numFmtId="0">
      <sharedItems count="4">
        <s v="SNRI"/>
        <s v="SSRI"/>
        <s v="Benzodiazepine"/>
        <s v="None"/>
      </sharedItems>
    </cacheField>
    <cacheField name="Age Group " numFmtId="0">
      <sharedItems count="3">
        <s v="30–50"/>
        <s v="Over 50"/>
        <s v="Under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96.062891319445" createdVersion="8" refreshedVersion="8" minRefreshableVersion="3" recordCount="60" xr:uid="{9D42A753-E1E4-1047-BB61-69C5DCC03603}">
  <cacheSource type="worksheet">
    <worksheetSource ref="A1:T61" sheet="Sheet1" r:id="rId2"/>
  </cacheSource>
  <cacheFields count="20">
    <cacheField name="Patient ID" numFmtId="0">
      <sharedItems containsSemiMixedTypes="0" containsString="0" containsNumber="1" containsInteger="1" minValue="1" maxValue="60"/>
    </cacheField>
    <cacheField name="Age" numFmtId="0">
      <sharedItems containsSemiMixedTypes="0" containsString="0" containsNumber="1" containsInteger="1" minValue="19" maxValue="74"/>
    </cacheField>
    <cacheField name="Gender" numFmtId="0">
      <sharedItems/>
    </cacheField>
    <cacheField name="Ethnicity" numFmtId="0">
      <sharedItems/>
    </cacheField>
    <cacheField name="Marital Status" numFmtId="0">
      <sharedItems/>
    </cacheField>
    <cacheField name="Education Level" numFmtId="0">
      <sharedItems/>
    </cacheField>
    <cacheField name="OCD Diagnosis Date" numFmtId="14">
      <sharedItems containsSemiMixedTypes="0" containsNonDate="0" containsDate="1" containsString="0" minDate="2014-06-26T00:00:00" maxDate="2022-09-28T00:00:00"/>
    </cacheField>
    <cacheField name="Duration of Symptoms (months)" numFmtId="0">
      <sharedItems containsSemiMixedTypes="0" containsString="0" containsNumber="1" containsInteger="1" minValue="11" maxValue="236"/>
    </cacheField>
    <cacheField name="Previous Diagnoses" numFmtId="0">
      <sharedItems/>
    </cacheField>
    <cacheField name="Family History of OCD" numFmtId="0">
      <sharedItems/>
    </cacheField>
    <cacheField name="Obsession Type" numFmtId="0">
      <sharedItems/>
    </cacheField>
    <cacheField name="Compulsion Type" numFmtId="0">
      <sharedItems/>
    </cacheField>
    <cacheField name="Y-BOCS Score (Obsessions)" numFmtId="0">
      <sharedItems containsSemiMixedTypes="0" containsString="0" containsNumber="1" containsInteger="1" minValue="0" maxValue="40"/>
    </cacheField>
    <cacheField name="Y-BOCS Score (Compulsions)" numFmtId="0">
      <sharedItems containsSemiMixedTypes="0" containsString="0" containsNumber="1" containsInteger="1" minValue="0" maxValue="40"/>
    </cacheField>
    <cacheField name="Depression Diagnosis" numFmtId="0">
      <sharedItems/>
    </cacheField>
    <cacheField name="Anxiety Diagnosis" numFmtId="0">
      <sharedItems count="2">
        <s v="Yes"/>
        <s v="No"/>
      </sharedItems>
    </cacheField>
    <cacheField name="Medications" numFmtId="0">
      <sharedItems count="4">
        <s v="SNRI"/>
        <s v="SSRI"/>
        <s v="Benzodiazepine"/>
        <s v="None"/>
      </sharedItems>
    </cacheField>
    <cacheField name="Age Group " numFmtId="0">
      <sharedItems/>
    </cacheField>
    <cacheField name="Total OCD Severity" numFmtId="0">
      <sharedItems containsSemiMixedTypes="0" containsString="0" containsNumber="1" minValue="3.5" maxValue="38.5"/>
    </cacheField>
    <cacheField name="Duration Band" numFmtId="0">
      <sharedItems count="3">
        <s v="&gt;10 yrs"/>
        <s v="0–5 yrs"/>
        <s v="5–10 y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x v="0"/>
    <s v="African"/>
    <s v="Single"/>
    <s v="Some College"/>
    <d v="2016-07-15T00:00:00"/>
    <n v="203"/>
    <s v="MDD"/>
    <s v="No"/>
    <s v="Harm-related"/>
    <s v="Checking"/>
    <n v="17"/>
    <n v="10"/>
    <s v="Yes"/>
    <s v="Yes"/>
    <s v="SNRI"/>
  </r>
  <r>
    <n v="2"/>
    <x v="1"/>
    <x v="1"/>
    <s v="African"/>
    <s v="Divorced"/>
    <s v="Some College"/>
    <d v="2017-04-28T00:00:00"/>
    <n v="180"/>
    <s v="None"/>
    <s v="Yes"/>
    <s v="Harm-related"/>
    <s v="Washing"/>
    <n v="21"/>
    <n v="25"/>
    <s v="Yes"/>
    <s v="Yes"/>
    <s v="SSRI"/>
  </r>
  <r>
    <n v="3"/>
    <x v="2"/>
    <x v="1"/>
    <s v="Hispanic"/>
    <s v="Divorced"/>
    <s v="College Degree"/>
    <d v="2018-02-02T00:00:00"/>
    <n v="173"/>
    <s v="MDD"/>
    <s v="No"/>
    <s v="Contamination"/>
    <s v="Checking"/>
    <n v="3"/>
    <n v="4"/>
    <s v="No"/>
    <s v="No"/>
    <s v="Benzodiazepine"/>
  </r>
  <r>
    <n v="4"/>
    <x v="3"/>
    <x v="0"/>
    <s v="Hispanic"/>
    <s v="Married"/>
    <s v="College Degree"/>
    <d v="2014-08-25T00:00:00"/>
    <n v="126"/>
    <s v="PTSD"/>
    <s v="Yes"/>
    <s v="Symmetry"/>
    <s v="Washing"/>
    <n v="14"/>
    <n v="28"/>
    <s v="Yes"/>
    <s v="Yes"/>
    <s v="SSRI"/>
  </r>
  <r>
    <n v="5"/>
    <x v="4"/>
    <x v="0"/>
    <s v="Hispanic"/>
    <s v="Married"/>
    <s v="High School"/>
    <d v="2022-02-20T00:00:00"/>
    <n v="168"/>
    <s v="PTSD"/>
    <s v="Yes"/>
    <s v="Hoarding"/>
    <s v="Ordering"/>
    <n v="39"/>
    <n v="18"/>
    <s v="No"/>
    <s v="No"/>
    <s v="None"/>
  </r>
  <r>
    <n v="6"/>
    <x v="0"/>
    <x v="0"/>
    <s v="Asian"/>
    <s v="Married"/>
    <s v="College Degree"/>
    <d v="2016-06-25T00:00:00"/>
    <n v="46"/>
    <s v="GAD"/>
    <s v="No"/>
    <s v="Hoarding"/>
    <s v="Ordering"/>
    <n v="26"/>
    <n v="11"/>
    <s v="Yes"/>
    <s v="Yes"/>
    <s v="SSRI"/>
  </r>
  <r>
    <n v="7"/>
    <x v="5"/>
    <x v="0"/>
    <s v="Hispanic"/>
    <s v="Single"/>
    <s v="College Degree"/>
    <d v="2017-03-13T00:00:00"/>
    <n v="110"/>
    <s v="MDD"/>
    <s v="No"/>
    <s v="Contamination"/>
    <s v="Praying"/>
    <n v="12"/>
    <n v="16"/>
    <s v="Yes"/>
    <s v="No"/>
    <s v="SNRI"/>
  </r>
  <r>
    <n v="8"/>
    <x v="2"/>
    <x v="1"/>
    <s v="Hispanic"/>
    <s v="Divorced"/>
    <s v="College Degree"/>
    <d v="2015-08-25T00:00:00"/>
    <n v="197"/>
    <s v="PTSD"/>
    <s v="No"/>
    <s v="Religious"/>
    <s v="Ordering"/>
    <n v="31"/>
    <n v="4"/>
    <s v="Yes"/>
    <s v="No"/>
    <s v="SSRI"/>
  </r>
  <r>
    <n v="9"/>
    <x v="6"/>
    <x v="1"/>
    <s v="Hispanic"/>
    <s v="Divorced"/>
    <s v="College Degree"/>
    <d v="2016-09-19T00:00:00"/>
    <n v="84"/>
    <s v="None"/>
    <s v="No"/>
    <s v="Harm-related"/>
    <s v="Praying"/>
    <n v="37"/>
    <n v="24"/>
    <s v="No"/>
    <s v="Yes"/>
    <s v="None"/>
  </r>
  <r>
    <n v="10"/>
    <x v="7"/>
    <x v="0"/>
    <s v="Hispanic"/>
    <s v="Divorced"/>
    <s v="Graduate Degree"/>
    <d v="2014-07-13T00:00:00"/>
    <n v="47"/>
    <s v="GAD"/>
    <s v="Yes"/>
    <s v="Contamination"/>
    <s v="Ordering"/>
    <n v="28"/>
    <n v="36"/>
    <s v="Yes"/>
    <s v="Yes"/>
    <s v="Benzodiazepine"/>
  </r>
  <r>
    <n v="11"/>
    <x v="8"/>
    <x v="0"/>
    <s v="African"/>
    <s v="Married"/>
    <s v="College Degree"/>
    <d v="2014-12-18T00:00:00"/>
    <n v="95"/>
    <s v="GAD"/>
    <s v="Yes"/>
    <s v="Harm-related"/>
    <s v="Checking"/>
    <n v="40"/>
    <n v="26"/>
    <s v="Yes"/>
    <s v="No"/>
    <s v="None"/>
  </r>
  <r>
    <n v="12"/>
    <x v="9"/>
    <x v="0"/>
    <s v="Hispanic"/>
    <s v="Divorced"/>
    <s v="High School"/>
    <d v="2017-01-13T00:00:00"/>
    <n v="233"/>
    <s v="GAD"/>
    <s v="No"/>
    <s v="Religious"/>
    <s v="Counting"/>
    <n v="4"/>
    <n v="16"/>
    <s v="Yes"/>
    <s v="Yes"/>
    <s v="Benzodiazepine"/>
  </r>
  <r>
    <n v="13"/>
    <x v="10"/>
    <x v="0"/>
    <s v="Hispanic"/>
    <s v="Married"/>
    <s v="High School"/>
    <d v="2015-06-09T00:00:00"/>
    <n v="48"/>
    <s v="Panic Disorder"/>
    <s v="No"/>
    <s v="Contamination"/>
    <s v="Praying"/>
    <n v="14"/>
    <n v="27"/>
    <s v="Yes"/>
    <s v="Yes"/>
    <s v="None"/>
  </r>
  <r>
    <n v="14"/>
    <x v="11"/>
    <x v="0"/>
    <s v="Caucasian"/>
    <s v="Single"/>
    <s v="Some College"/>
    <d v="2019-04-13T00:00:00"/>
    <n v="126"/>
    <s v="MDD"/>
    <s v="No"/>
    <s v="Contamination"/>
    <s v="Counting"/>
    <n v="10"/>
    <n v="39"/>
    <s v="Yes"/>
    <s v="No"/>
    <s v="SSRI"/>
  </r>
  <r>
    <n v="15"/>
    <x v="12"/>
    <x v="0"/>
    <s v="Caucasian"/>
    <s v="Divorced"/>
    <s v="High School"/>
    <d v="2020-08-24T00:00:00"/>
    <n v="141"/>
    <s v="MDD"/>
    <s v="Yes"/>
    <s v="Harm-related"/>
    <s v="Washing"/>
    <n v="23"/>
    <n v="39"/>
    <s v="No"/>
    <s v="No"/>
    <s v="SNRI"/>
  </r>
  <r>
    <n v="16"/>
    <x v="13"/>
    <x v="1"/>
    <s v="Hispanic"/>
    <s v="Married"/>
    <s v="College Degree"/>
    <d v="2022-08-24T00:00:00"/>
    <n v="108"/>
    <s v="PTSD"/>
    <s v="Yes"/>
    <s v="Symmetry"/>
    <s v="Praying"/>
    <n v="17"/>
    <n v="25"/>
    <s v="No"/>
    <s v="Yes"/>
    <s v="SSRI"/>
  </r>
  <r>
    <n v="17"/>
    <x v="14"/>
    <x v="1"/>
    <s v="African"/>
    <s v="Married"/>
    <s v="College Degree"/>
    <d v="2021-01-20T00:00:00"/>
    <n v="206"/>
    <s v="Panic Disorder"/>
    <s v="Yes"/>
    <s v="Religious"/>
    <s v="Counting"/>
    <n v="7"/>
    <n v="21"/>
    <s v="Yes"/>
    <s v="No"/>
    <s v="SSRI"/>
  </r>
  <r>
    <n v="18"/>
    <x v="15"/>
    <x v="0"/>
    <s v="African"/>
    <s v="Divorced"/>
    <s v="High School"/>
    <d v="2021-01-23T00:00:00"/>
    <n v="147"/>
    <s v="None"/>
    <s v="Yes"/>
    <s v="Religious"/>
    <s v="Checking"/>
    <n v="38"/>
    <n v="20"/>
    <s v="No"/>
    <s v="Yes"/>
    <s v="Benzodiazepine"/>
  </r>
  <r>
    <n v="19"/>
    <x v="16"/>
    <x v="0"/>
    <s v="African"/>
    <s v="Single"/>
    <s v="Some College"/>
    <d v="2017-11-04T00:00:00"/>
    <n v="62"/>
    <s v="None"/>
    <s v="Yes"/>
    <s v="Hoarding"/>
    <s v="Washing"/>
    <n v="22"/>
    <n v="22"/>
    <s v="No"/>
    <s v="No"/>
    <s v="None"/>
  </r>
  <r>
    <n v="20"/>
    <x v="17"/>
    <x v="0"/>
    <s v="Asian"/>
    <s v="Divorced"/>
    <s v="College Degree"/>
    <d v="2018-08-14T00:00:00"/>
    <n v="73"/>
    <s v="Panic Disorder"/>
    <s v="No"/>
    <s v="Harm-related"/>
    <s v="Washing"/>
    <n v="0"/>
    <n v="12"/>
    <s v="No"/>
    <s v="Yes"/>
    <s v="SNRI"/>
  </r>
  <r>
    <n v="21"/>
    <x v="3"/>
    <x v="1"/>
    <s v="Asian"/>
    <s v="Single"/>
    <s v="Graduate Degree"/>
    <d v="2015-11-06T00:00:00"/>
    <n v="220"/>
    <s v="PTSD"/>
    <s v="Yes"/>
    <s v="Religious"/>
    <s v="Ordering"/>
    <n v="30"/>
    <n v="4"/>
    <s v="Yes"/>
    <s v="Yes"/>
    <s v="Benzodiazepine"/>
  </r>
  <r>
    <n v="22"/>
    <x v="18"/>
    <x v="1"/>
    <s v="Caucasian"/>
    <s v="Single"/>
    <s v="Graduate Degree"/>
    <d v="2022-09-27T00:00:00"/>
    <n v="89"/>
    <s v="PTSD"/>
    <s v="Yes"/>
    <s v="Religious"/>
    <s v="Counting"/>
    <n v="1"/>
    <n v="40"/>
    <s v="Yes"/>
    <s v="No"/>
    <s v="SNRI"/>
  </r>
  <r>
    <n v="23"/>
    <x v="19"/>
    <x v="1"/>
    <s v="Caucasian"/>
    <s v="Single"/>
    <s v="College Degree"/>
    <d v="2016-08-23T00:00:00"/>
    <n v="208"/>
    <s v="PTSD"/>
    <s v="No"/>
    <s v="Contamination"/>
    <s v="Checking"/>
    <n v="32"/>
    <n v="16"/>
    <s v="No"/>
    <s v="No"/>
    <s v="SNRI"/>
  </r>
  <r>
    <n v="24"/>
    <x v="20"/>
    <x v="1"/>
    <s v="Caucasian"/>
    <s v="Married"/>
    <s v="Graduate Degree"/>
    <d v="2022-03-04T00:00:00"/>
    <n v="39"/>
    <s v="GAD"/>
    <s v="No"/>
    <s v="Religious"/>
    <s v="Washing"/>
    <n v="0"/>
    <n v="18"/>
    <s v="Yes"/>
    <s v="Yes"/>
    <s v="Benzodiazepine"/>
  </r>
  <r>
    <n v="25"/>
    <x v="8"/>
    <x v="0"/>
    <s v="Caucasian"/>
    <s v="Single"/>
    <s v="Some College"/>
    <d v="2016-04-22T00:00:00"/>
    <n v="14"/>
    <s v="Panic Disorder"/>
    <s v="No"/>
    <s v="Harm-related"/>
    <s v="Praying"/>
    <n v="29"/>
    <n v="5"/>
    <s v="Yes"/>
    <s v="No"/>
    <s v="Benzodiazepine"/>
  </r>
  <r>
    <n v="26"/>
    <x v="15"/>
    <x v="0"/>
    <s v="Asian"/>
    <s v="Divorced"/>
    <s v="Graduate Degree"/>
    <d v="2017-09-11T00:00:00"/>
    <n v="192"/>
    <s v="MDD"/>
    <s v="No"/>
    <s v="Religious"/>
    <s v="Washing"/>
    <n v="19"/>
    <n v="25"/>
    <s v="Yes"/>
    <s v="Yes"/>
    <s v="SSRI"/>
  </r>
  <r>
    <n v="27"/>
    <x v="21"/>
    <x v="1"/>
    <s v="Caucasian"/>
    <s v="Single"/>
    <s v="Some College"/>
    <d v="2016-12-14T00:00:00"/>
    <n v="134"/>
    <s v="GAD"/>
    <s v="No"/>
    <s v="Symmetry"/>
    <s v="Washing"/>
    <n v="9"/>
    <n v="36"/>
    <s v="Yes"/>
    <s v="No"/>
    <s v="None"/>
  </r>
  <r>
    <n v="28"/>
    <x v="22"/>
    <x v="1"/>
    <s v="Asian"/>
    <s v="Divorced"/>
    <s v="College Degree"/>
    <d v="2018-09-09T00:00:00"/>
    <n v="42"/>
    <s v="GAD"/>
    <s v="Yes"/>
    <s v="Hoarding"/>
    <s v="Checking"/>
    <n v="4"/>
    <n v="8"/>
    <s v="Yes"/>
    <s v="No"/>
    <s v="None"/>
  </r>
  <r>
    <n v="29"/>
    <x v="23"/>
    <x v="1"/>
    <s v="Asian"/>
    <s v="Divorced"/>
    <s v="College Degree"/>
    <d v="2014-06-26T00:00:00"/>
    <n v="226"/>
    <s v="MDD"/>
    <s v="No"/>
    <s v="Harm-related"/>
    <s v="Praying"/>
    <n v="18"/>
    <n v="0"/>
    <s v="Yes"/>
    <s v="No"/>
    <s v="SSRI"/>
  </r>
  <r>
    <n v="30"/>
    <x v="19"/>
    <x v="1"/>
    <s v="Hispanic"/>
    <s v="Divorced"/>
    <s v="Graduate Degree"/>
    <d v="2019-10-15T00:00:00"/>
    <n v="151"/>
    <s v="GAD"/>
    <s v="Yes"/>
    <s v="Contamination"/>
    <s v="Counting"/>
    <n v="31"/>
    <n v="13"/>
    <s v="Yes"/>
    <s v="No"/>
    <s v="Benzodiazepine"/>
  </r>
  <r>
    <n v="31"/>
    <x v="24"/>
    <x v="0"/>
    <s v="Asian"/>
    <s v="Divorced"/>
    <s v="College Degree"/>
    <d v="2021-01-11T00:00:00"/>
    <n v="90"/>
    <s v="Panic Disorder"/>
    <s v="No"/>
    <s v="Hoarding"/>
    <s v="Praying"/>
    <n v="20"/>
    <n v="20"/>
    <s v="No"/>
    <s v="Yes"/>
    <s v="Benzodiazepine"/>
  </r>
  <r>
    <n v="32"/>
    <x v="19"/>
    <x v="1"/>
    <s v="Caucasian"/>
    <s v="Married"/>
    <s v="Some College"/>
    <d v="2021-10-19T00:00:00"/>
    <n v="58"/>
    <s v="Panic Disorder"/>
    <s v="Yes"/>
    <s v="Religious"/>
    <s v="Checking"/>
    <n v="27"/>
    <n v="4"/>
    <s v="No"/>
    <s v="No"/>
    <s v="None"/>
  </r>
  <r>
    <n v="33"/>
    <x v="25"/>
    <x v="1"/>
    <s v="African"/>
    <s v="Divorced"/>
    <s v="Some College"/>
    <d v="2017-01-15T00:00:00"/>
    <n v="58"/>
    <s v="Panic Disorder"/>
    <s v="Yes"/>
    <s v="Harm-related"/>
    <s v="Praying"/>
    <n v="34"/>
    <n v="0"/>
    <s v="No"/>
    <s v="Yes"/>
    <s v="Benzodiazepine"/>
  </r>
  <r>
    <n v="34"/>
    <x v="12"/>
    <x v="1"/>
    <s v="Hispanic"/>
    <s v="Married"/>
    <s v="Some College"/>
    <d v="2021-02-27T00:00:00"/>
    <n v="193"/>
    <s v="None"/>
    <s v="Yes"/>
    <s v="Religious"/>
    <s v="Counting"/>
    <n v="23"/>
    <n v="12"/>
    <s v="Yes"/>
    <s v="Yes"/>
    <s v="SNRI"/>
  </r>
  <r>
    <n v="35"/>
    <x v="4"/>
    <x v="1"/>
    <s v="Caucasian"/>
    <s v="Married"/>
    <s v="Some College"/>
    <d v="2020-03-19T00:00:00"/>
    <n v="49"/>
    <s v="None"/>
    <s v="Yes"/>
    <s v="Harm-related"/>
    <s v="Counting"/>
    <n v="20"/>
    <n v="22"/>
    <s v="Yes"/>
    <s v="No"/>
    <s v="None"/>
  </r>
  <r>
    <n v="36"/>
    <x v="9"/>
    <x v="0"/>
    <s v="Caucasian"/>
    <s v="Married"/>
    <s v="Graduate Degree"/>
    <d v="2017-12-27T00:00:00"/>
    <n v="112"/>
    <s v="Panic Disorder"/>
    <s v="No"/>
    <s v="Religious"/>
    <s v="Washing"/>
    <n v="17"/>
    <n v="38"/>
    <s v="Yes"/>
    <s v="No"/>
    <s v="SNRI"/>
  </r>
  <r>
    <n v="37"/>
    <x v="26"/>
    <x v="0"/>
    <s v="Caucasian"/>
    <s v="Married"/>
    <s v="Graduate Degree"/>
    <d v="2017-04-04T00:00:00"/>
    <n v="141"/>
    <s v="Panic Disorder"/>
    <s v="Yes"/>
    <s v="Contamination"/>
    <s v="Praying"/>
    <n v="37"/>
    <n v="25"/>
    <s v="No"/>
    <s v="Yes"/>
    <s v="None"/>
  </r>
  <r>
    <n v="38"/>
    <x v="27"/>
    <x v="1"/>
    <s v="Hispanic"/>
    <s v="Divorced"/>
    <s v="High School"/>
    <d v="2019-05-22T00:00:00"/>
    <n v="160"/>
    <s v="Panic Disorder"/>
    <s v="Yes"/>
    <s v="Symmetry"/>
    <s v="Praying"/>
    <n v="38"/>
    <n v="21"/>
    <s v="No"/>
    <s v="No"/>
    <s v="None"/>
  </r>
  <r>
    <n v="39"/>
    <x v="28"/>
    <x v="0"/>
    <s v="Asian"/>
    <s v="Married"/>
    <s v="High School"/>
    <d v="2014-12-30T00:00:00"/>
    <n v="134"/>
    <s v="None"/>
    <s v="No"/>
    <s v="Hoarding"/>
    <s v="Washing"/>
    <n v="8"/>
    <n v="31"/>
    <s v="No"/>
    <s v="No"/>
    <s v="Benzodiazepine"/>
  </r>
  <r>
    <n v="40"/>
    <x v="29"/>
    <x v="0"/>
    <s v="Caucasian"/>
    <s v="Married"/>
    <s v="High School"/>
    <d v="2019-12-23T00:00:00"/>
    <n v="160"/>
    <s v="PTSD"/>
    <s v="Yes"/>
    <s v="Religious"/>
    <s v="Washing"/>
    <n v="36"/>
    <n v="4"/>
    <s v="Yes"/>
    <s v="No"/>
    <s v="SSRI"/>
  </r>
  <r>
    <n v="41"/>
    <x v="30"/>
    <x v="0"/>
    <s v="Hispanic"/>
    <s v="Married"/>
    <s v="Graduate Degree"/>
    <d v="2018-11-01T00:00:00"/>
    <n v="134"/>
    <s v="PTSD"/>
    <s v="Yes"/>
    <s v="Symmetry"/>
    <s v="Washing"/>
    <n v="3"/>
    <n v="4"/>
    <s v="Yes"/>
    <s v="No"/>
    <s v="SSRI"/>
  </r>
  <r>
    <n v="42"/>
    <x v="29"/>
    <x v="1"/>
    <s v="Caucasian"/>
    <s v="Married"/>
    <s v="Some College"/>
    <d v="2020-08-15T00:00:00"/>
    <n v="140"/>
    <s v="GAD"/>
    <s v="Yes"/>
    <s v="Harm-related"/>
    <s v="Counting"/>
    <n v="17"/>
    <n v="34"/>
    <s v="No"/>
    <s v="No"/>
    <s v="Benzodiazepine"/>
  </r>
  <r>
    <n v="43"/>
    <x v="31"/>
    <x v="0"/>
    <s v="Asian"/>
    <s v="Divorced"/>
    <s v="High School"/>
    <d v="2020-07-13T00:00:00"/>
    <n v="193"/>
    <s v="MDD"/>
    <s v="No"/>
    <s v="Hoarding"/>
    <s v="Washing"/>
    <n v="9"/>
    <n v="24"/>
    <s v="No"/>
    <s v="No"/>
    <s v="Benzodiazepine"/>
  </r>
  <r>
    <n v="44"/>
    <x v="1"/>
    <x v="0"/>
    <s v="African"/>
    <s v="Divorced"/>
    <s v="Graduate Degree"/>
    <d v="2019-01-28T00:00:00"/>
    <n v="217"/>
    <s v="Panic Disorder"/>
    <s v="No"/>
    <s v="Hoarding"/>
    <s v="Washing"/>
    <n v="28"/>
    <n v="37"/>
    <s v="No"/>
    <s v="Yes"/>
    <s v="None"/>
  </r>
  <r>
    <n v="45"/>
    <x v="32"/>
    <x v="1"/>
    <s v="Caucasian"/>
    <s v="Divorced"/>
    <s v="Graduate Degree"/>
    <d v="2020-01-28T00:00:00"/>
    <n v="34"/>
    <s v="MDD"/>
    <s v="Yes"/>
    <s v="Contamination"/>
    <s v="Washing"/>
    <n v="37"/>
    <n v="40"/>
    <s v="No"/>
    <s v="No"/>
    <s v="SSRI"/>
  </r>
  <r>
    <n v="46"/>
    <x v="24"/>
    <x v="1"/>
    <s v="African"/>
    <s v="Single"/>
    <s v="Graduate Degree"/>
    <d v="2016-02-25T00:00:00"/>
    <n v="207"/>
    <s v="None"/>
    <s v="Yes"/>
    <s v="Harm-related"/>
    <s v="Ordering"/>
    <n v="16"/>
    <n v="10"/>
    <s v="Yes"/>
    <s v="No"/>
    <s v="SSRI"/>
  </r>
  <r>
    <n v="47"/>
    <x v="33"/>
    <x v="1"/>
    <s v="Hispanic"/>
    <s v="Married"/>
    <s v="Some College"/>
    <d v="2016-01-23T00:00:00"/>
    <n v="154"/>
    <s v="MDD"/>
    <s v="No"/>
    <s v="Contamination"/>
    <s v="Washing"/>
    <n v="13"/>
    <n v="15"/>
    <s v="No"/>
    <s v="No"/>
    <s v="Benzodiazepine"/>
  </r>
  <r>
    <n v="48"/>
    <x v="34"/>
    <x v="0"/>
    <s v="Caucasian"/>
    <s v="Married"/>
    <s v="Some College"/>
    <d v="2016-08-25T00:00:00"/>
    <n v="11"/>
    <s v="MDD"/>
    <s v="No"/>
    <s v="Religious"/>
    <s v="Washing"/>
    <n v="40"/>
    <n v="1"/>
    <s v="No"/>
    <s v="No"/>
    <s v="Benzodiazepine"/>
  </r>
  <r>
    <n v="49"/>
    <x v="35"/>
    <x v="0"/>
    <s v="African"/>
    <s v="Single"/>
    <s v="College Degree"/>
    <d v="2020-03-29T00:00:00"/>
    <n v="59"/>
    <s v="MDD"/>
    <s v="Yes"/>
    <s v="Hoarding"/>
    <s v="Washing"/>
    <n v="40"/>
    <n v="32"/>
    <s v="No"/>
    <s v="Yes"/>
    <s v="None"/>
  </r>
  <r>
    <n v="50"/>
    <x v="7"/>
    <x v="1"/>
    <s v="African"/>
    <s v="Divorced"/>
    <s v="Graduate Degree"/>
    <d v="2014-07-25T00:00:00"/>
    <n v="22"/>
    <s v="MDD"/>
    <s v="Yes"/>
    <s v="Religious"/>
    <s v="Washing"/>
    <n v="28"/>
    <n v="5"/>
    <s v="No"/>
    <s v="No"/>
    <s v="SNRI"/>
  </r>
  <r>
    <n v="51"/>
    <x v="36"/>
    <x v="0"/>
    <s v="Asian"/>
    <s v="Single"/>
    <s v="Some College"/>
    <d v="2015-10-05T00:00:00"/>
    <n v="108"/>
    <s v="MDD"/>
    <s v="Yes"/>
    <s v="Religious"/>
    <s v="Counting"/>
    <n v="23"/>
    <n v="3"/>
    <s v="No"/>
    <s v="Yes"/>
    <s v="SNRI"/>
  </r>
  <r>
    <n v="52"/>
    <x v="19"/>
    <x v="0"/>
    <s v="Asian"/>
    <s v="Single"/>
    <s v="Some College"/>
    <d v="2018-04-29T00:00:00"/>
    <n v="92"/>
    <s v="PTSD"/>
    <s v="No"/>
    <s v="Contamination"/>
    <s v="Checking"/>
    <n v="40"/>
    <n v="21"/>
    <s v="No"/>
    <s v="No"/>
    <s v="SNRI"/>
  </r>
  <r>
    <n v="53"/>
    <x v="31"/>
    <x v="1"/>
    <s v="Hispanic"/>
    <s v="Married"/>
    <s v="Some College"/>
    <d v="2017-02-21T00:00:00"/>
    <n v="236"/>
    <s v="MDD"/>
    <s v="No"/>
    <s v="Harm-related"/>
    <s v="Counting"/>
    <n v="36"/>
    <n v="28"/>
    <s v="Yes"/>
    <s v="Yes"/>
    <s v="Benzodiazepine"/>
  </r>
  <r>
    <n v="54"/>
    <x v="37"/>
    <x v="0"/>
    <s v="Asian"/>
    <s v="Married"/>
    <s v="Graduate Degree"/>
    <d v="2021-04-01T00:00:00"/>
    <n v="65"/>
    <s v="None"/>
    <s v="Yes"/>
    <s v="Contamination"/>
    <s v="Praying"/>
    <n v="40"/>
    <n v="36"/>
    <s v="No"/>
    <s v="Yes"/>
    <s v="Benzodiazepine"/>
  </r>
  <r>
    <n v="55"/>
    <x v="31"/>
    <x v="1"/>
    <s v="African"/>
    <s v="Divorced"/>
    <s v="High School"/>
    <d v="2017-08-09T00:00:00"/>
    <n v="47"/>
    <s v="Panic Disorder"/>
    <s v="Yes"/>
    <s v="Religious"/>
    <s v="Washing"/>
    <n v="11"/>
    <n v="9"/>
    <s v="No"/>
    <s v="No"/>
    <s v="None"/>
  </r>
  <r>
    <n v="56"/>
    <x v="38"/>
    <x v="0"/>
    <s v="Hispanic"/>
    <s v="Divorced"/>
    <s v="Some College"/>
    <d v="2019-01-06T00:00:00"/>
    <n v="167"/>
    <s v="MDD"/>
    <s v="No"/>
    <s v="Harm-related"/>
    <s v="Counting"/>
    <n v="38"/>
    <n v="28"/>
    <s v="No"/>
    <s v="No"/>
    <s v="SSRI"/>
  </r>
  <r>
    <n v="57"/>
    <x v="31"/>
    <x v="0"/>
    <s v="Caucasian"/>
    <s v="Divorced"/>
    <s v="High School"/>
    <d v="2014-11-18T00:00:00"/>
    <n v="24"/>
    <s v="GAD"/>
    <s v="No"/>
    <s v="Religious"/>
    <s v="Praying"/>
    <n v="23"/>
    <n v="26"/>
    <s v="No"/>
    <s v="No"/>
    <s v="Benzodiazepine"/>
  </r>
  <r>
    <n v="58"/>
    <x v="14"/>
    <x v="1"/>
    <s v="African"/>
    <s v="Married"/>
    <s v="Some College"/>
    <d v="2021-07-17T00:00:00"/>
    <n v="84"/>
    <s v="Panic Disorder"/>
    <s v="Yes"/>
    <s v="Symmetry"/>
    <s v="Checking"/>
    <n v="29"/>
    <n v="3"/>
    <s v="No"/>
    <s v="No"/>
    <s v="SSRI"/>
  </r>
  <r>
    <n v="59"/>
    <x v="5"/>
    <x v="0"/>
    <s v="Caucasian"/>
    <s v="Divorced"/>
    <s v="High School"/>
    <d v="2021-05-26T00:00:00"/>
    <n v="154"/>
    <s v="PTSD"/>
    <s v="No"/>
    <s v="Contamination"/>
    <s v="Praying"/>
    <n v="32"/>
    <n v="33"/>
    <s v="No"/>
    <s v="No"/>
    <s v="Benzodiazepine"/>
  </r>
  <r>
    <n v="60"/>
    <x v="39"/>
    <x v="1"/>
    <s v="African"/>
    <s v="Married"/>
    <s v="High School"/>
    <d v="2014-07-11T00:00:00"/>
    <n v="90"/>
    <s v="None"/>
    <s v="Yes"/>
    <s v="Harm-related"/>
    <s v="Ordering"/>
    <n v="17"/>
    <n v="6"/>
    <s v="Yes"/>
    <s v="No"/>
    <s v="SNR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2"/>
    <s v="Female"/>
    <s v="African"/>
    <s v="Single"/>
    <s v="Some College"/>
    <d v="2016-07-15T00:00:00"/>
    <n v="203"/>
    <s v="MDD"/>
    <s v="No"/>
    <x v="0"/>
    <x v="0"/>
    <n v="17"/>
    <n v="10"/>
    <x v="0"/>
    <x v="0"/>
    <x v="0"/>
    <x v="0"/>
  </r>
  <r>
    <n v="2"/>
    <n v="69"/>
    <s v="Male"/>
    <s v="African"/>
    <s v="Divorced"/>
    <s v="Some College"/>
    <d v="2017-04-28T00:00:00"/>
    <n v="180"/>
    <s v="None"/>
    <s v="Yes"/>
    <x v="0"/>
    <x v="1"/>
    <n v="21"/>
    <n v="25"/>
    <x v="0"/>
    <x v="0"/>
    <x v="1"/>
    <x v="1"/>
  </r>
  <r>
    <n v="3"/>
    <n v="57"/>
    <s v="Male"/>
    <s v="Hispanic"/>
    <s v="Divorced"/>
    <s v="College Degree"/>
    <d v="2018-02-02T00:00:00"/>
    <n v="173"/>
    <s v="MDD"/>
    <s v="No"/>
    <x v="1"/>
    <x v="0"/>
    <n v="3"/>
    <n v="4"/>
    <x v="1"/>
    <x v="1"/>
    <x v="2"/>
    <x v="1"/>
  </r>
  <r>
    <n v="4"/>
    <n v="27"/>
    <s v="Female"/>
    <s v="Hispanic"/>
    <s v="Married"/>
    <s v="College Degree"/>
    <d v="2014-08-25T00:00:00"/>
    <n v="126"/>
    <s v="PTSD"/>
    <s v="Yes"/>
    <x v="2"/>
    <x v="1"/>
    <n v="14"/>
    <n v="28"/>
    <x v="0"/>
    <x v="0"/>
    <x v="1"/>
    <x v="2"/>
  </r>
  <r>
    <n v="5"/>
    <n v="56"/>
    <s v="Female"/>
    <s v="Hispanic"/>
    <s v="Married"/>
    <s v="High School"/>
    <d v="2022-02-20T00:00:00"/>
    <n v="168"/>
    <s v="PTSD"/>
    <s v="Yes"/>
    <x v="3"/>
    <x v="2"/>
    <n v="39"/>
    <n v="18"/>
    <x v="1"/>
    <x v="1"/>
    <x v="3"/>
    <x v="1"/>
  </r>
  <r>
    <n v="6"/>
    <n v="32"/>
    <s v="Female"/>
    <s v="Asian"/>
    <s v="Married"/>
    <s v="College Degree"/>
    <d v="2016-06-25T00:00:00"/>
    <n v="46"/>
    <s v="GAD"/>
    <s v="No"/>
    <x v="3"/>
    <x v="2"/>
    <n v="26"/>
    <n v="11"/>
    <x v="0"/>
    <x v="0"/>
    <x v="1"/>
    <x v="0"/>
  </r>
  <r>
    <n v="7"/>
    <n v="38"/>
    <s v="Female"/>
    <s v="Hispanic"/>
    <s v="Single"/>
    <s v="College Degree"/>
    <d v="2017-03-13T00:00:00"/>
    <n v="110"/>
    <s v="MDD"/>
    <s v="No"/>
    <x v="1"/>
    <x v="3"/>
    <n v="12"/>
    <n v="16"/>
    <x v="0"/>
    <x v="1"/>
    <x v="0"/>
    <x v="0"/>
  </r>
  <r>
    <n v="8"/>
    <n v="57"/>
    <s v="Male"/>
    <s v="Hispanic"/>
    <s v="Divorced"/>
    <s v="College Degree"/>
    <d v="2015-08-25T00:00:00"/>
    <n v="197"/>
    <s v="PTSD"/>
    <s v="No"/>
    <x v="4"/>
    <x v="2"/>
    <n v="31"/>
    <n v="4"/>
    <x v="0"/>
    <x v="1"/>
    <x v="1"/>
    <x v="1"/>
  </r>
  <r>
    <n v="9"/>
    <n v="36"/>
    <s v="Male"/>
    <s v="Hispanic"/>
    <s v="Divorced"/>
    <s v="College Degree"/>
    <d v="2016-09-19T00:00:00"/>
    <n v="84"/>
    <s v="None"/>
    <s v="No"/>
    <x v="0"/>
    <x v="3"/>
    <n v="37"/>
    <n v="24"/>
    <x v="1"/>
    <x v="0"/>
    <x v="3"/>
    <x v="0"/>
  </r>
  <r>
    <n v="10"/>
    <n v="72"/>
    <s v="Female"/>
    <s v="Hispanic"/>
    <s v="Divorced"/>
    <s v="Graduate Degree"/>
    <d v="2014-07-13T00:00:00"/>
    <n v="47"/>
    <s v="GAD"/>
    <s v="Yes"/>
    <x v="1"/>
    <x v="2"/>
    <n v="28"/>
    <n v="36"/>
    <x v="0"/>
    <x v="0"/>
    <x v="2"/>
    <x v="1"/>
  </r>
  <r>
    <n v="11"/>
    <n v="21"/>
    <s v="Female"/>
    <s v="African"/>
    <s v="Married"/>
    <s v="College Degree"/>
    <d v="2014-12-18T00:00:00"/>
    <n v="95"/>
    <s v="GAD"/>
    <s v="Yes"/>
    <x v="0"/>
    <x v="0"/>
    <n v="40"/>
    <n v="26"/>
    <x v="0"/>
    <x v="1"/>
    <x v="3"/>
    <x v="2"/>
  </r>
  <r>
    <n v="12"/>
    <n v="73"/>
    <s v="Female"/>
    <s v="Hispanic"/>
    <s v="Divorced"/>
    <s v="High School"/>
    <d v="2017-01-13T00:00:00"/>
    <n v="233"/>
    <s v="GAD"/>
    <s v="No"/>
    <x v="4"/>
    <x v="4"/>
    <n v="4"/>
    <n v="16"/>
    <x v="0"/>
    <x v="0"/>
    <x v="2"/>
    <x v="1"/>
  </r>
  <r>
    <n v="13"/>
    <n v="23"/>
    <s v="Female"/>
    <s v="Hispanic"/>
    <s v="Married"/>
    <s v="High School"/>
    <d v="2015-06-09T00:00:00"/>
    <n v="48"/>
    <s v="Panic Disorder"/>
    <s v="No"/>
    <x v="1"/>
    <x v="3"/>
    <n v="14"/>
    <n v="27"/>
    <x v="0"/>
    <x v="0"/>
    <x v="3"/>
    <x v="2"/>
  </r>
  <r>
    <n v="14"/>
    <n v="68"/>
    <s v="Female"/>
    <s v="Caucasian"/>
    <s v="Single"/>
    <s v="Some College"/>
    <d v="2019-04-13T00:00:00"/>
    <n v="126"/>
    <s v="MDD"/>
    <s v="No"/>
    <x v="1"/>
    <x v="4"/>
    <n v="10"/>
    <n v="39"/>
    <x v="0"/>
    <x v="1"/>
    <x v="1"/>
    <x v="1"/>
  </r>
  <r>
    <n v="15"/>
    <n v="48"/>
    <s v="Female"/>
    <s v="Caucasian"/>
    <s v="Divorced"/>
    <s v="High School"/>
    <d v="2020-08-24T00:00:00"/>
    <n v="141"/>
    <s v="MDD"/>
    <s v="Yes"/>
    <x v="0"/>
    <x v="1"/>
    <n v="23"/>
    <n v="39"/>
    <x v="1"/>
    <x v="1"/>
    <x v="0"/>
    <x v="0"/>
  </r>
  <r>
    <n v="16"/>
    <n v="29"/>
    <s v="Male"/>
    <s v="Hispanic"/>
    <s v="Married"/>
    <s v="College Degree"/>
    <d v="2022-08-24T00:00:00"/>
    <n v="108"/>
    <s v="PTSD"/>
    <s v="Yes"/>
    <x v="2"/>
    <x v="3"/>
    <n v="17"/>
    <n v="25"/>
    <x v="1"/>
    <x v="0"/>
    <x v="1"/>
    <x v="2"/>
  </r>
  <r>
    <n v="17"/>
    <n v="25"/>
    <s v="Male"/>
    <s v="African"/>
    <s v="Married"/>
    <s v="College Degree"/>
    <d v="2021-01-20T00:00:00"/>
    <n v="206"/>
    <s v="Panic Disorder"/>
    <s v="Yes"/>
    <x v="4"/>
    <x v="4"/>
    <n v="7"/>
    <n v="21"/>
    <x v="0"/>
    <x v="1"/>
    <x v="1"/>
    <x v="2"/>
  </r>
  <r>
    <n v="18"/>
    <n v="55"/>
    <s v="Female"/>
    <s v="African"/>
    <s v="Divorced"/>
    <s v="High School"/>
    <d v="2021-01-23T00:00:00"/>
    <n v="147"/>
    <s v="None"/>
    <s v="Yes"/>
    <x v="4"/>
    <x v="0"/>
    <n v="38"/>
    <n v="20"/>
    <x v="1"/>
    <x v="0"/>
    <x v="2"/>
    <x v="1"/>
  </r>
  <r>
    <n v="19"/>
    <n v="50"/>
    <s v="Female"/>
    <s v="African"/>
    <s v="Single"/>
    <s v="Some College"/>
    <d v="2017-11-04T00:00:00"/>
    <n v="62"/>
    <s v="None"/>
    <s v="Yes"/>
    <x v="3"/>
    <x v="1"/>
    <n v="22"/>
    <n v="22"/>
    <x v="1"/>
    <x v="1"/>
    <x v="3"/>
    <x v="0"/>
  </r>
  <r>
    <n v="20"/>
    <n v="66"/>
    <s v="Female"/>
    <s v="Asian"/>
    <s v="Divorced"/>
    <s v="College Degree"/>
    <d v="2018-08-14T00:00:00"/>
    <n v="73"/>
    <s v="Panic Disorder"/>
    <s v="No"/>
    <x v="0"/>
    <x v="1"/>
    <n v="0"/>
    <n v="12"/>
    <x v="1"/>
    <x v="0"/>
    <x v="0"/>
    <x v="1"/>
  </r>
  <r>
    <n v="21"/>
    <n v="27"/>
    <s v="Male"/>
    <s v="Asian"/>
    <s v="Single"/>
    <s v="Graduate Degree"/>
    <d v="2015-11-06T00:00:00"/>
    <n v="220"/>
    <s v="PTSD"/>
    <s v="Yes"/>
    <x v="4"/>
    <x v="2"/>
    <n v="30"/>
    <n v="4"/>
    <x v="0"/>
    <x v="0"/>
    <x v="2"/>
    <x v="2"/>
  </r>
  <r>
    <n v="22"/>
    <n v="62"/>
    <s v="Male"/>
    <s v="Caucasian"/>
    <s v="Single"/>
    <s v="Graduate Degree"/>
    <d v="2022-09-27T00:00:00"/>
    <n v="89"/>
    <s v="PTSD"/>
    <s v="Yes"/>
    <x v="4"/>
    <x v="4"/>
    <n v="1"/>
    <n v="40"/>
    <x v="0"/>
    <x v="1"/>
    <x v="0"/>
    <x v="1"/>
  </r>
  <r>
    <n v="23"/>
    <n v="28"/>
    <s v="Male"/>
    <s v="Caucasian"/>
    <s v="Single"/>
    <s v="College Degree"/>
    <d v="2016-08-23T00:00:00"/>
    <n v="208"/>
    <s v="PTSD"/>
    <s v="No"/>
    <x v="1"/>
    <x v="0"/>
    <n v="32"/>
    <n v="16"/>
    <x v="1"/>
    <x v="1"/>
    <x v="0"/>
    <x v="2"/>
  </r>
  <r>
    <n v="24"/>
    <n v="43"/>
    <s v="Male"/>
    <s v="Caucasian"/>
    <s v="Married"/>
    <s v="Graduate Degree"/>
    <d v="2022-03-04T00:00:00"/>
    <n v="39"/>
    <s v="GAD"/>
    <s v="No"/>
    <x v="4"/>
    <x v="1"/>
    <n v="0"/>
    <n v="18"/>
    <x v="0"/>
    <x v="0"/>
    <x v="2"/>
    <x v="0"/>
  </r>
  <r>
    <n v="25"/>
    <n v="21"/>
    <s v="Female"/>
    <s v="Caucasian"/>
    <s v="Single"/>
    <s v="Some College"/>
    <d v="2016-04-22T00:00:00"/>
    <n v="14"/>
    <s v="Panic Disorder"/>
    <s v="No"/>
    <x v="0"/>
    <x v="3"/>
    <n v="29"/>
    <n v="5"/>
    <x v="0"/>
    <x v="1"/>
    <x v="2"/>
    <x v="2"/>
  </r>
  <r>
    <n v="26"/>
    <n v="55"/>
    <s v="Female"/>
    <s v="Asian"/>
    <s v="Divorced"/>
    <s v="Graduate Degree"/>
    <d v="2017-09-11T00:00:00"/>
    <n v="192"/>
    <s v="MDD"/>
    <s v="No"/>
    <x v="4"/>
    <x v="1"/>
    <n v="19"/>
    <n v="25"/>
    <x v="0"/>
    <x v="0"/>
    <x v="1"/>
    <x v="1"/>
  </r>
  <r>
    <n v="27"/>
    <n v="47"/>
    <s v="Male"/>
    <s v="Caucasian"/>
    <s v="Single"/>
    <s v="Some College"/>
    <d v="2016-12-14T00:00:00"/>
    <n v="134"/>
    <s v="GAD"/>
    <s v="No"/>
    <x v="2"/>
    <x v="1"/>
    <n v="9"/>
    <n v="36"/>
    <x v="0"/>
    <x v="1"/>
    <x v="3"/>
    <x v="0"/>
  </r>
  <r>
    <n v="28"/>
    <n v="74"/>
    <s v="Male"/>
    <s v="Asian"/>
    <s v="Divorced"/>
    <s v="College Degree"/>
    <d v="2018-09-09T00:00:00"/>
    <n v="42"/>
    <s v="GAD"/>
    <s v="Yes"/>
    <x v="3"/>
    <x v="0"/>
    <n v="4"/>
    <n v="8"/>
    <x v="0"/>
    <x v="1"/>
    <x v="3"/>
    <x v="1"/>
  </r>
  <r>
    <n v="29"/>
    <n v="60"/>
    <s v="Male"/>
    <s v="Asian"/>
    <s v="Divorced"/>
    <s v="College Degree"/>
    <d v="2014-06-26T00:00:00"/>
    <n v="226"/>
    <s v="MDD"/>
    <s v="No"/>
    <x v="0"/>
    <x v="3"/>
    <n v="18"/>
    <n v="0"/>
    <x v="0"/>
    <x v="1"/>
    <x v="1"/>
    <x v="1"/>
  </r>
  <r>
    <n v="30"/>
    <n v="28"/>
    <s v="Male"/>
    <s v="Hispanic"/>
    <s v="Divorced"/>
    <s v="Graduate Degree"/>
    <d v="2019-10-15T00:00:00"/>
    <n v="151"/>
    <s v="GAD"/>
    <s v="Yes"/>
    <x v="1"/>
    <x v="4"/>
    <n v="31"/>
    <n v="13"/>
    <x v="0"/>
    <x v="1"/>
    <x v="2"/>
    <x v="2"/>
  </r>
  <r>
    <n v="31"/>
    <n v="22"/>
    <s v="Female"/>
    <s v="Asian"/>
    <s v="Divorced"/>
    <s v="College Degree"/>
    <d v="2021-01-11T00:00:00"/>
    <n v="90"/>
    <s v="Panic Disorder"/>
    <s v="No"/>
    <x v="3"/>
    <x v="3"/>
    <n v="20"/>
    <n v="20"/>
    <x v="1"/>
    <x v="0"/>
    <x v="2"/>
    <x v="2"/>
  </r>
  <r>
    <n v="32"/>
    <n v="28"/>
    <s v="Male"/>
    <s v="Caucasian"/>
    <s v="Married"/>
    <s v="Some College"/>
    <d v="2021-10-19T00:00:00"/>
    <n v="58"/>
    <s v="Panic Disorder"/>
    <s v="Yes"/>
    <x v="4"/>
    <x v="0"/>
    <n v="27"/>
    <n v="4"/>
    <x v="1"/>
    <x v="1"/>
    <x v="3"/>
    <x v="2"/>
  </r>
  <r>
    <n v="33"/>
    <n v="24"/>
    <s v="Male"/>
    <s v="African"/>
    <s v="Divorced"/>
    <s v="Some College"/>
    <d v="2017-01-15T00:00:00"/>
    <n v="58"/>
    <s v="Panic Disorder"/>
    <s v="Yes"/>
    <x v="0"/>
    <x v="3"/>
    <n v="34"/>
    <n v="0"/>
    <x v="1"/>
    <x v="0"/>
    <x v="2"/>
    <x v="2"/>
  </r>
  <r>
    <n v="34"/>
    <n v="48"/>
    <s v="Male"/>
    <s v="Hispanic"/>
    <s v="Married"/>
    <s v="Some College"/>
    <d v="2021-02-27T00:00:00"/>
    <n v="193"/>
    <s v="None"/>
    <s v="Yes"/>
    <x v="4"/>
    <x v="4"/>
    <n v="23"/>
    <n v="12"/>
    <x v="0"/>
    <x v="0"/>
    <x v="0"/>
    <x v="0"/>
  </r>
  <r>
    <n v="35"/>
    <n v="56"/>
    <s v="Male"/>
    <s v="Caucasian"/>
    <s v="Married"/>
    <s v="Some College"/>
    <d v="2020-03-19T00:00:00"/>
    <n v="49"/>
    <s v="None"/>
    <s v="Yes"/>
    <x v="0"/>
    <x v="4"/>
    <n v="20"/>
    <n v="22"/>
    <x v="0"/>
    <x v="1"/>
    <x v="3"/>
    <x v="1"/>
  </r>
  <r>
    <n v="36"/>
    <n v="73"/>
    <s v="Female"/>
    <s v="Caucasian"/>
    <s v="Married"/>
    <s v="Graduate Degree"/>
    <d v="2017-12-27T00:00:00"/>
    <n v="112"/>
    <s v="Panic Disorder"/>
    <s v="No"/>
    <x v="4"/>
    <x v="1"/>
    <n v="17"/>
    <n v="38"/>
    <x v="0"/>
    <x v="1"/>
    <x v="0"/>
    <x v="1"/>
  </r>
  <r>
    <n v="37"/>
    <n v="70"/>
    <s v="Female"/>
    <s v="Caucasian"/>
    <s v="Married"/>
    <s v="Graduate Degree"/>
    <d v="2017-04-04T00:00:00"/>
    <n v="141"/>
    <s v="Panic Disorder"/>
    <s v="Yes"/>
    <x v="1"/>
    <x v="3"/>
    <n v="37"/>
    <n v="25"/>
    <x v="1"/>
    <x v="0"/>
    <x v="3"/>
    <x v="1"/>
  </r>
  <r>
    <n v="38"/>
    <n v="33"/>
    <s v="Male"/>
    <s v="Hispanic"/>
    <s v="Divorced"/>
    <s v="High School"/>
    <d v="2019-05-22T00:00:00"/>
    <n v="160"/>
    <s v="Panic Disorder"/>
    <s v="Yes"/>
    <x v="2"/>
    <x v="3"/>
    <n v="38"/>
    <n v="21"/>
    <x v="1"/>
    <x v="1"/>
    <x v="3"/>
    <x v="0"/>
  </r>
  <r>
    <n v="39"/>
    <n v="41"/>
    <s v="Female"/>
    <s v="Asian"/>
    <s v="Married"/>
    <s v="High School"/>
    <d v="2014-12-30T00:00:00"/>
    <n v="134"/>
    <s v="None"/>
    <s v="No"/>
    <x v="3"/>
    <x v="1"/>
    <n v="8"/>
    <n v="31"/>
    <x v="1"/>
    <x v="1"/>
    <x v="2"/>
    <x v="0"/>
  </r>
  <r>
    <n v="40"/>
    <n v="58"/>
    <s v="Female"/>
    <s v="Caucasian"/>
    <s v="Married"/>
    <s v="High School"/>
    <d v="2019-12-23T00:00:00"/>
    <n v="160"/>
    <s v="PTSD"/>
    <s v="Yes"/>
    <x v="4"/>
    <x v="1"/>
    <n v="36"/>
    <n v="4"/>
    <x v="0"/>
    <x v="1"/>
    <x v="1"/>
    <x v="1"/>
  </r>
  <r>
    <n v="41"/>
    <n v="65"/>
    <s v="Female"/>
    <s v="Hispanic"/>
    <s v="Married"/>
    <s v="Graduate Degree"/>
    <d v="2018-11-01T00:00:00"/>
    <n v="134"/>
    <s v="PTSD"/>
    <s v="Yes"/>
    <x v="2"/>
    <x v="1"/>
    <n v="3"/>
    <n v="4"/>
    <x v="0"/>
    <x v="1"/>
    <x v="1"/>
    <x v="1"/>
  </r>
  <r>
    <n v="42"/>
    <n v="58"/>
    <s v="Male"/>
    <s v="Caucasian"/>
    <s v="Married"/>
    <s v="Some College"/>
    <d v="2020-08-15T00:00:00"/>
    <n v="140"/>
    <s v="GAD"/>
    <s v="Yes"/>
    <x v="0"/>
    <x v="4"/>
    <n v="17"/>
    <n v="34"/>
    <x v="1"/>
    <x v="1"/>
    <x v="2"/>
    <x v="1"/>
  </r>
  <r>
    <n v="43"/>
    <n v="49"/>
    <s v="Female"/>
    <s v="Asian"/>
    <s v="Divorced"/>
    <s v="High School"/>
    <d v="2020-07-13T00:00:00"/>
    <n v="193"/>
    <s v="MDD"/>
    <s v="No"/>
    <x v="3"/>
    <x v="1"/>
    <n v="9"/>
    <n v="24"/>
    <x v="1"/>
    <x v="1"/>
    <x v="2"/>
    <x v="0"/>
  </r>
  <r>
    <n v="44"/>
    <n v="69"/>
    <s v="Female"/>
    <s v="African"/>
    <s v="Divorced"/>
    <s v="Graduate Degree"/>
    <d v="2019-01-28T00:00:00"/>
    <n v="217"/>
    <s v="Panic Disorder"/>
    <s v="No"/>
    <x v="3"/>
    <x v="1"/>
    <n v="28"/>
    <n v="37"/>
    <x v="1"/>
    <x v="0"/>
    <x v="3"/>
    <x v="1"/>
  </r>
  <r>
    <n v="45"/>
    <n v="37"/>
    <s v="Male"/>
    <s v="Caucasian"/>
    <s v="Divorced"/>
    <s v="Graduate Degree"/>
    <d v="2020-01-28T00:00:00"/>
    <n v="34"/>
    <s v="MDD"/>
    <s v="Yes"/>
    <x v="1"/>
    <x v="1"/>
    <n v="37"/>
    <n v="40"/>
    <x v="1"/>
    <x v="1"/>
    <x v="1"/>
    <x v="0"/>
  </r>
  <r>
    <n v="46"/>
    <n v="22"/>
    <s v="Male"/>
    <s v="African"/>
    <s v="Single"/>
    <s v="Graduate Degree"/>
    <d v="2016-02-25T00:00:00"/>
    <n v="207"/>
    <s v="None"/>
    <s v="Yes"/>
    <x v="0"/>
    <x v="2"/>
    <n v="16"/>
    <n v="10"/>
    <x v="0"/>
    <x v="1"/>
    <x v="1"/>
    <x v="2"/>
  </r>
  <r>
    <n v="47"/>
    <n v="63"/>
    <s v="Male"/>
    <s v="Hispanic"/>
    <s v="Married"/>
    <s v="Some College"/>
    <d v="2016-01-23T00:00:00"/>
    <n v="154"/>
    <s v="MDD"/>
    <s v="No"/>
    <x v="1"/>
    <x v="1"/>
    <n v="13"/>
    <n v="15"/>
    <x v="1"/>
    <x v="1"/>
    <x v="2"/>
    <x v="1"/>
  </r>
  <r>
    <n v="48"/>
    <n v="46"/>
    <s v="Female"/>
    <s v="Caucasian"/>
    <s v="Married"/>
    <s v="Some College"/>
    <d v="2016-08-25T00:00:00"/>
    <n v="11"/>
    <s v="MDD"/>
    <s v="No"/>
    <x v="4"/>
    <x v="1"/>
    <n v="40"/>
    <n v="1"/>
    <x v="1"/>
    <x v="1"/>
    <x v="2"/>
    <x v="0"/>
  </r>
  <r>
    <n v="49"/>
    <n v="31"/>
    <s v="Female"/>
    <s v="African"/>
    <s v="Single"/>
    <s v="College Degree"/>
    <d v="2020-03-29T00:00:00"/>
    <n v="59"/>
    <s v="MDD"/>
    <s v="Yes"/>
    <x v="3"/>
    <x v="1"/>
    <n v="40"/>
    <n v="32"/>
    <x v="1"/>
    <x v="0"/>
    <x v="3"/>
    <x v="0"/>
  </r>
  <r>
    <n v="50"/>
    <n v="72"/>
    <s v="Male"/>
    <s v="African"/>
    <s v="Divorced"/>
    <s v="Graduate Degree"/>
    <d v="2014-07-25T00:00:00"/>
    <n v="22"/>
    <s v="MDD"/>
    <s v="Yes"/>
    <x v="4"/>
    <x v="1"/>
    <n v="28"/>
    <n v="5"/>
    <x v="1"/>
    <x v="1"/>
    <x v="0"/>
    <x v="1"/>
  </r>
  <r>
    <n v="51"/>
    <n v="64"/>
    <s v="Female"/>
    <s v="Asian"/>
    <s v="Single"/>
    <s v="Some College"/>
    <d v="2015-10-05T00:00:00"/>
    <n v="108"/>
    <s v="MDD"/>
    <s v="Yes"/>
    <x v="4"/>
    <x v="4"/>
    <n v="23"/>
    <n v="3"/>
    <x v="1"/>
    <x v="0"/>
    <x v="0"/>
    <x v="1"/>
  </r>
  <r>
    <n v="52"/>
    <n v="28"/>
    <s v="Female"/>
    <s v="Asian"/>
    <s v="Single"/>
    <s v="Some College"/>
    <d v="2018-04-29T00:00:00"/>
    <n v="92"/>
    <s v="PTSD"/>
    <s v="No"/>
    <x v="1"/>
    <x v="0"/>
    <n v="40"/>
    <n v="21"/>
    <x v="1"/>
    <x v="1"/>
    <x v="0"/>
    <x v="2"/>
  </r>
  <r>
    <n v="53"/>
    <n v="49"/>
    <s v="Male"/>
    <s v="Hispanic"/>
    <s v="Married"/>
    <s v="Some College"/>
    <d v="2017-02-21T00:00:00"/>
    <n v="236"/>
    <s v="MDD"/>
    <s v="No"/>
    <x v="0"/>
    <x v="4"/>
    <n v="36"/>
    <n v="28"/>
    <x v="0"/>
    <x v="0"/>
    <x v="2"/>
    <x v="0"/>
  </r>
  <r>
    <n v="54"/>
    <n v="54"/>
    <s v="Female"/>
    <s v="Asian"/>
    <s v="Married"/>
    <s v="Graduate Degree"/>
    <d v="2021-04-01T00:00:00"/>
    <n v="65"/>
    <s v="None"/>
    <s v="Yes"/>
    <x v="1"/>
    <x v="3"/>
    <n v="40"/>
    <n v="36"/>
    <x v="1"/>
    <x v="0"/>
    <x v="2"/>
    <x v="1"/>
  </r>
  <r>
    <n v="55"/>
    <n v="49"/>
    <s v="Male"/>
    <s v="African"/>
    <s v="Divorced"/>
    <s v="High School"/>
    <d v="2017-08-09T00:00:00"/>
    <n v="47"/>
    <s v="Panic Disorder"/>
    <s v="Yes"/>
    <x v="4"/>
    <x v="1"/>
    <n v="11"/>
    <n v="9"/>
    <x v="1"/>
    <x v="1"/>
    <x v="3"/>
    <x v="0"/>
  </r>
  <r>
    <n v="56"/>
    <n v="61"/>
    <s v="Female"/>
    <s v="Hispanic"/>
    <s v="Divorced"/>
    <s v="Some College"/>
    <d v="2019-01-06T00:00:00"/>
    <n v="167"/>
    <s v="MDD"/>
    <s v="No"/>
    <x v="0"/>
    <x v="4"/>
    <n v="38"/>
    <n v="28"/>
    <x v="1"/>
    <x v="1"/>
    <x v="1"/>
    <x v="1"/>
  </r>
  <r>
    <n v="57"/>
    <n v="49"/>
    <s v="Female"/>
    <s v="Caucasian"/>
    <s v="Divorced"/>
    <s v="High School"/>
    <d v="2014-11-18T00:00:00"/>
    <n v="24"/>
    <s v="GAD"/>
    <s v="No"/>
    <x v="4"/>
    <x v="3"/>
    <n v="23"/>
    <n v="26"/>
    <x v="1"/>
    <x v="1"/>
    <x v="2"/>
    <x v="0"/>
  </r>
  <r>
    <n v="58"/>
    <n v="25"/>
    <s v="Male"/>
    <s v="African"/>
    <s v="Married"/>
    <s v="Some College"/>
    <d v="2021-07-17T00:00:00"/>
    <n v="84"/>
    <s v="Panic Disorder"/>
    <s v="Yes"/>
    <x v="2"/>
    <x v="0"/>
    <n v="29"/>
    <n v="3"/>
    <x v="1"/>
    <x v="1"/>
    <x v="1"/>
    <x v="2"/>
  </r>
  <r>
    <n v="59"/>
    <n v="38"/>
    <s v="Female"/>
    <s v="Caucasian"/>
    <s v="Divorced"/>
    <s v="High School"/>
    <d v="2021-05-26T00:00:00"/>
    <n v="154"/>
    <s v="PTSD"/>
    <s v="No"/>
    <x v="1"/>
    <x v="3"/>
    <n v="32"/>
    <n v="33"/>
    <x v="1"/>
    <x v="1"/>
    <x v="2"/>
    <x v="0"/>
  </r>
  <r>
    <n v="60"/>
    <n v="19"/>
    <s v="Male"/>
    <s v="African"/>
    <s v="Married"/>
    <s v="High School"/>
    <d v="2014-07-11T00:00:00"/>
    <n v="90"/>
    <s v="None"/>
    <s v="Yes"/>
    <x v="0"/>
    <x v="2"/>
    <n v="17"/>
    <n v="6"/>
    <x v="0"/>
    <x v="1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2"/>
    <s v="Female"/>
    <s v="African"/>
    <s v="Single"/>
    <s v="Some College"/>
    <d v="2016-07-15T00:00:00"/>
    <n v="203"/>
    <s v="MDD"/>
    <s v="No"/>
    <s v="Harm-related"/>
    <s v="Checking"/>
    <n v="17"/>
    <n v="10"/>
    <s v="Yes"/>
    <x v="0"/>
    <x v="0"/>
    <s v="30–50"/>
    <n v="13.5"/>
    <x v="0"/>
  </r>
  <r>
    <n v="2"/>
    <n v="69"/>
    <s v="Male"/>
    <s v="African"/>
    <s v="Divorced"/>
    <s v="Some College"/>
    <d v="2017-04-28T00:00:00"/>
    <n v="180"/>
    <s v="None"/>
    <s v="Yes"/>
    <s v="Harm-related"/>
    <s v="Washing"/>
    <n v="21"/>
    <n v="25"/>
    <s v="Yes"/>
    <x v="0"/>
    <x v="1"/>
    <s v="Over 50"/>
    <n v="23"/>
    <x v="0"/>
  </r>
  <r>
    <n v="3"/>
    <n v="57"/>
    <s v="Male"/>
    <s v="Hispanic"/>
    <s v="Divorced"/>
    <s v="College Degree"/>
    <d v="2018-02-02T00:00:00"/>
    <n v="173"/>
    <s v="MDD"/>
    <s v="No"/>
    <s v="Contamination"/>
    <s v="Checking"/>
    <n v="3"/>
    <n v="4"/>
    <s v="No"/>
    <x v="1"/>
    <x v="2"/>
    <s v="Over 50"/>
    <n v="3.5"/>
    <x v="0"/>
  </r>
  <r>
    <n v="4"/>
    <n v="27"/>
    <s v="Female"/>
    <s v="Hispanic"/>
    <s v="Married"/>
    <s v="College Degree"/>
    <d v="2014-08-25T00:00:00"/>
    <n v="126"/>
    <s v="PTSD"/>
    <s v="Yes"/>
    <s v="Symmetry"/>
    <s v="Washing"/>
    <n v="14"/>
    <n v="28"/>
    <s v="Yes"/>
    <x v="0"/>
    <x v="1"/>
    <s v="Under 30"/>
    <n v="21"/>
    <x v="0"/>
  </r>
  <r>
    <n v="5"/>
    <n v="56"/>
    <s v="Female"/>
    <s v="Hispanic"/>
    <s v="Married"/>
    <s v="High School"/>
    <d v="2022-02-20T00:00:00"/>
    <n v="168"/>
    <s v="PTSD"/>
    <s v="Yes"/>
    <s v="Hoarding"/>
    <s v="Ordering"/>
    <n v="39"/>
    <n v="18"/>
    <s v="No"/>
    <x v="1"/>
    <x v="3"/>
    <s v="Over 50"/>
    <n v="28.5"/>
    <x v="0"/>
  </r>
  <r>
    <n v="6"/>
    <n v="32"/>
    <s v="Female"/>
    <s v="Asian"/>
    <s v="Married"/>
    <s v="College Degree"/>
    <d v="2016-06-25T00:00:00"/>
    <n v="46"/>
    <s v="GAD"/>
    <s v="No"/>
    <s v="Hoarding"/>
    <s v="Ordering"/>
    <n v="26"/>
    <n v="11"/>
    <s v="Yes"/>
    <x v="0"/>
    <x v="1"/>
    <s v="30–50"/>
    <n v="18.5"/>
    <x v="1"/>
  </r>
  <r>
    <n v="7"/>
    <n v="38"/>
    <s v="Female"/>
    <s v="Hispanic"/>
    <s v="Single"/>
    <s v="College Degree"/>
    <d v="2017-03-13T00:00:00"/>
    <n v="110"/>
    <s v="MDD"/>
    <s v="No"/>
    <s v="Contamination"/>
    <s v="Praying"/>
    <n v="12"/>
    <n v="16"/>
    <s v="Yes"/>
    <x v="1"/>
    <x v="0"/>
    <s v="30–50"/>
    <n v="14"/>
    <x v="2"/>
  </r>
  <r>
    <n v="8"/>
    <n v="57"/>
    <s v="Male"/>
    <s v="Hispanic"/>
    <s v="Divorced"/>
    <s v="College Degree"/>
    <d v="2015-08-25T00:00:00"/>
    <n v="197"/>
    <s v="PTSD"/>
    <s v="No"/>
    <s v="Religious"/>
    <s v="Ordering"/>
    <n v="31"/>
    <n v="4"/>
    <s v="Yes"/>
    <x v="1"/>
    <x v="1"/>
    <s v="Over 50"/>
    <n v="17.5"/>
    <x v="0"/>
  </r>
  <r>
    <n v="9"/>
    <n v="36"/>
    <s v="Male"/>
    <s v="Hispanic"/>
    <s v="Divorced"/>
    <s v="College Degree"/>
    <d v="2016-09-19T00:00:00"/>
    <n v="84"/>
    <s v="None"/>
    <s v="No"/>
    <s v="Harm-related"/>
    <s v="Praying"/>
    <n v="37"/>
    <n v="24"/>
    <s v="No"/>
    <x v="0"/>
    <x v="3"/>
    <s v="30–50"/>
    <n v="30.5"/>
    <x v="2"/>
  </r>
  <r>
    <n v="10"/>
    <n v="72"/>
    <s v="Female"/>
    <s v="Hispanic"/>
    <s v="Divorced"/>
    <s v="Graduate Degree"/>
    <d v="2014-07-13T00:00:00"/>
    <n v="47"/>
    <s v="GAD"/>
    <s v="Yes"/>
    <s v="Contamination"/>
    <s v="Ordering"/>
    <n v="28"/>
    <n v="36"/>
    <s v="Yes"/>
    <x v="0"/>
    <x v="2"/>
    <s v="Over 50"/>
    <n v="32"/>
    <x v="1"/>
  </r>
  <r>
    <n v="11"/>
    <n v="21"/>
    <s v="Female"/>
    <s v="African"/>
    <s v="Married"/>
    <s v="College Degree"/>
    <d v="2014-12-18T00:00:00"/>
    <n v="95"/>
    <s v="GAD"/>
    <s v="Yes"/>
    <s v="Harm-related"/>
    <s v="Checking"/>
    <n v="40"/>
    <n v="26"/>
    <s v="Yes"/>
    <x v="1"/>
    <x v="3"/>
    <s v="Under 30"/>
    <n v="33"/>
    <x v="2"/>
  </r>
  <r>
    <n v="12"/>
    <n v="73"/>
    <s v="Female"/>
    <s v="Hispanic"/>
    <s v="Divorced"/>
    <s v="High School"/>
    <d v="2017-01-13T00:00:00"/>
    <n v="233"/>
    <s v="GAD"/>
    <s v="No"/>
    <s v="Religious"/>
    <s v="Counting"/>
    <n v="4"/>
    <n v="16"/>
    <s v="Yes"/>
    <x v="0"/>
    <x v="2"/>
    <s v="Over 50"/>
    <n v="10"/>
    <x v="0"/>
  </r>
  <r>
    <n v="13"/>
    <n v="23"/>
    <s v="Female"/>
    <s v="Hispanic"/>
    <s v="Married"/>
    <s v="High School"/>
    <d v="2015-06-09T00:00:00"/>
    <n v="48"/>
    <s v="Panic Disorder"/>
    <s v="No"/>
    <s v="Contamination"/>
    <s v="Praying"/>
    <n v="14"/>
    <n v="27"/>
    <s v="Yes"/>
    <x v="0"/>
    <x v="3"/>
    <s v="Under 30"/>
    <n v="20.5"/>
    <x v="1"/>
  </r>
  <r>
    <n v="14"/>
    <n v="68"/>
    <s v="Female"/>
    <s v="Caucasian"/>
    <s v="Single"/>
    <s v="Some College"/>
    <d v="2019-04-13T00:00:00"/>
    <n v="126"/>
    <s v="MDD"/>
    <s v="No"/>
    <s v="Contamination"/>
    <s v="Counting"/>
    <n v="10"/>
    <n v="39"/>
    <s v="Yes"/>
    <x v="1"/>
    <x v="1"/>
    <s v="Over 50"/>
    <n v="24.5"/>
    <x v="0"/>
  </r>
  <r>
    <n v="15"/>
    <n v="48"/>
    <s v="Female"/>
    <s v="Caucasian"/>
    <s v="Divorced"/>
    <s v="High School"/>
    <d v="2020-08-24T00:00:00"/>
    <n v="141"/>
    <s v="MDD"/>
    <s v="Yes"/>
    <s v="Harm-related"/>
    <s v="Washing"/>
    <n v="23"/>
    <n v="39"/>
    <s v="No"/>
    <x v="1"/>
    <x v="0"/>
    <s v="30–50"/>
    <n v="31"/>
    <x v="0"/>
  </r>
  <r>
    <n v="16"/>
    <n v="29"/>
    <s v="Male"/>
    <s v="Hispanic"/>
    <s v="Married"/>
    <s v="College Degree"/>
    <d v="2022-08-24T00:00:00"/>
    <n v="108"/>
    <s v="PTSD"/>
    <s v="Yes"/>
    <s v="Symmetry"/>
    <s v="Praying"/>
    <n v="17"/>
    <n v="25"/>
    <s v="No"/>
    <x v="0"/>
    <x v="1"/>
    <s v="Under 30"/>
    <n v="21"/>
    <x v="2"/>
  </r>
  <r>
    <n v="17"/>
    <n v="25"/>
    <s v="Male"/>
    <s v="African"/>
    <s v="Married"/>
    <s v="College Degree"/>
    <d v="2021-01-20T00:00:00"/>
    <n v="206"/>
    <s v="Panic Disorder"/>
    <s v="Yes"/>
    <s v="Religious"/>
    <s v="Counting"/>
    <n v="7"/>
    <n v="21"/>
    <s v="Yes"/>
    <x v="1"/>
    <x v="1"/>
    <s v="Under 30"/>
    <n v="14"/>
    <x v="0"/>
  </r>
  <r>
    <n v="18"/>
    <n v="55"/>
    <s v="Female"/>
    <s v="African"/>
    <s v="Divorced"/>
    <s v="High School"/>
    <d v="2021-01-23T00:00:00"/>
    <n v="147"/>
    <s v="None"/>
    <s v="Yes"/>
    <s v="Religious"/>
    <s v="Checking"/>
    <n v="38"/>
    <n v="20"/>
    <s v="No"/>
    <x v="0"/>
    <x v="2"/>
    <s v="Over 50"/>
    <n v="29"/>
    <x v="0"/>
  </r>
  <r>
    <n v="19"/>
    <n v="50"/>
    <s v="Female"/>
    <s v="African"/>
    <s v="Single"/>
    <s v="Some College"/>
    <d v="2017-11-04T00:00:00"/>
    <n v="62"/>
    <s v="None"/>
    <s v="Yes"/>
    <s v="Hoarding"/>
    <s v="Washing"/>
    <n v="22"/>
    <n v="22"/>
    <s v="No"/>
    <x v="1"/>
    <x v="3"/>
    <s v="30–50"/>
    <n v="22"/>
    <x v="2"/>
  </r>
  <r>
    <n v="20"/>
    <n v="66"/>
    <s v="Female"/>
    <s v="Asian"/>
    <s v="Divorced"/>
    <s v="College Degree"/>
    <d v="2018-08-14T00:00:00"/>
    <n v="73"/>
    <s v="Panic Disorder"/>
    <s v="No"/>
    <s v="Harm-related"/>
    <s v="Washing"/>
    <n v="0"/>
    <n v="12"/>
    <s v="No"/>
    <x v="0"/>
    <x v="0"/>
    <s v="Over 50"/>
    <n v="6"/>
    <x v="2"/>
  </r>
  <r>
    <n v="21"/>
    <n v="27"/>
    <s v="Male"/>
    <s v="Asian"/>
    <s v="Single"/>
    <s v="Graduate Degree"/>
    <d v="2015-11-06T00:00:00"/>
    <n v="220"/>
    <s v="PTSD"/>
    <s v="Yes"/>
    <s v="Religious"/>
    <s v="Ordering"/>
    <n v="30"/>
    <n v="4"/>
    <s v="Yes"/>
    <x v="0"/>
    <x v="2"/>
    <s v="Under 30"/>
    <n v="17"/>
    <x v="0"/>
  </r>
  <r>
    <n v="22"/>
    <n v="62"/>
    <s v="Male"/>
    <s v="Caucasian"/>
    <s v="Single"/>
    <s v="Graduate Degree"/>
    <d v="2022-09-27T00:00:00"/>
    <n v="89"/>
    <s v="PTSD"/>
    <s v="Yes"/>
    <s v="Religious"/>
    <s v="Counting"/>
    <n v="1"/>
    <n v="40"/>
    <s v="Yes"/>
    <x v="1"/>
    <x v="0"/>
    <s v="Over 50"/>
    <n v="20.5"/>
    <x v="2"/>
  </r>
  <r>
    <n v="23"/>
    <n v="28"/>
    <s v="Male"/>
    <s v="Caucasian"/>
    <s v="Single"/>
    <s v="College Degree"/>
    <d v="2016-08-23T00:00:00"/>
    <n v="208"/>
    <s v="PTSD"/>
    <s v="No"/>
    <s v="Contamination"/>
    <s v="Checking"/>
    <n v="32"/>
    <n v="16"/>
    <s v="No"/>
    <x v="1"/>
    <x v="0"/>
    <s v="Under 30"/>
    <n v="24"/>
    <x v="0"/>
  </r>
  <r>
    <n v="24"/>
    <n v="43"/>
    <s v="Male"/>
    <s v="Caucasian"/>
    <s v="Married"/>
    <s v="Graduate Degree"/>
    <d v="2022-03-04T00:00:00"/>
    <n v="39"/>
    <s v="GAD"/>
    <s v="No"/>
    <s v="Religious"/>
    <s v="Washing"/>
    <n v="0"/>
    <n v="18"/>
    <s v="Yes"/>
    <x v="0"/>
    <x v="2"/>
    <s v="30–50"/>
    <n v="9"/>
    <x v="1"/>
  </r>
  <r>
    <n v="25"/>
    <n v="21"/>
    <s v="Female"/>
    <s v="Caucasian"/>
    <s v="Single"/>
    <s v="Some College"/>
    <d v="2016-04-22T00:00:00"/>
    <n v="14"/>
    <s v="Panic Disorder"/>
    <s v="No"/>
    <s v="Harm-related"/>
    <s v="Praying"/>
    <n v="29"/>
    <n v="5"/>
    <s v="Yes"/>
    <x v="1"/>
    <x v="2"/>
    <s v="Under 30"/>
    <n v="17"/>
    <x v="1"/>
  </r>
  <r>
    <n v="26"/>
    <n v="55"/>
    <s v="Female"/>
    <s v="Asian"/>
    <s v="Divorced"/>
    <s v="Graduate Degree"/>
    <d v="2017-09-11T00:00:00"/>
    <n v="192"/>
    <s v="MDD"/>
    <s v="No"/>
    <s v="Religious"/>
    <s v="Washing"/>
    <n v="19"/>
    <n v="25"/>
    <s v="Yes"/>
    <x v="0"/>
    <x v="1"/>
    <s v="Over 50"/>
    <n v="22"/>
    <x v="0"/>
  </r>
  <r>
    <n v="27"/>
    <n v="47"/>
    <s v="Male"/>
    <s v="Caucasian"/>
    <s v="Single"/>
    <s v="Some College"/>
    <d v="2016-12-14T00:00:00"/>
    <n v="134"/>
    <s v="GAD"/>
    <s v="No"/>
    <s v="Symmetry"/>
    <s v="Washing"/>
    <n v="9"/>
    <n v="36"/>
    <s v="Yes"/>
    <x v="1"/>
    <x v="3"/>
    <s v="30–50"/>
    <n v="22.5"/>
    <x v="0"/>
  </r>
  <r>
    <n v="28"/>
    <n v="74"/>
    <s v="Male"/>
    <s v="Asian"/>
    <s v="Divorced"/>
    <s v="College Degree"/>
    <d v="2018-09-09T00:00:00"/>
    <n v="42"/>
    <s v="GAD"/>
    <s v="Yes"/>
    <s v="Hoarding"/>
    <s v="Checking"/>
    <n v="4"/>
    <n v="8"/>
    <s v="Yes"/>
    <x v="1"/>
    <x v="3"/>
    <s v="Over 50"/>
    <n v="6"/>
    <x v="1"/>
  </r>
  <r>
    <n v="29"/>
    <n v="60"/>
    <s v="Male"/>
    <s v="Asian"/>
    <s v="Divorced"/>
    <s v="College Degree"/>
    <d v="2014-06-26T00:00:00"/>
    <n v="226"/>
    <s v="MDD"/>
    <s v="No"/>
    <s v="Harm-related"/>
    <s v="Praying"/>
    <n v="18"/>
    <n v="0"/>
    <s v="Yes"/>
    <x v="1"/>
    <x v="1"/>
    <s v="Over 50"/>
    <n v="9"/>
    <x v="0"/>
  </r>
  <r>
    <n v="30"/>
    <n v="28"/>
    <s v="Male"/>
    <s v="Hispanic"/>
    <s v="Divorced"/>
    <s v="Graduate Degree"/>
    <d v="2019-10-15T00:00:00"/>
    <n v="151"/>
    <s v="GAD"/>
    <s v="Yes"/>
    <s v="Contamination"/>
    <s v="Counting"/>
    <n v="31"/>
    <n v="13"/>
    <s v="Yes"/>
    <x v="1"/>
    <x v="2"/>
    <s v="Under 30"/>
    <n v="22"/>
    <x v="0"/>
  </r>
  <r>
    <n v="31"/>
    <n v="22"/>
    <s v="Female"/>
    <s v="Asian"/>
    <s v="Divorced"/>
    <s v="College Degree"/>
    <d v="2021-01-11T00:00:00"/>
    <n v="90"/>
    <s v="Panic Disorder"/>
    <s v="No"/>
    <s v="Hoarding"/>
    <s v="Praying"/>
    <n v="20"/>
    <n v="20"/>
    <s v="No"/>
    <x v="0"/>
    <x v="2"/>
    <s v="Under 30"/>
    <n v="20"/>
    <x v="2"/>
  </r>
  <r>
    <n v="32"/>
    <n v="28"/>
    <s v="Male"/>
    <s v="Caucasian"/>
    <s v="Married"/>
    <s v="Some College"/>
    <d v="2021-10-19T00:00:00"/>
    <n v="58"/>
    <s v="Panic Disorder"/>
    <s v="Yes"/>
    <s v="Religious"/>
    <s v="Checking"/>
    <n v="27"/>
    <n v="4"/>
    <s v="No"/>
    <x v="1"/>
    <x v="3"/>
    <s v="Under 30"/>
    <n v="15.5"/>
    <x v="1"/>
  </r>
  <r>
    <n v="33"/>
    <n v="24"/>
    <s v="Male"/>
    <s v="African"/>
    <s v="Divorced"/>
    <s v="Some College"/>
    <d v="2017-01-15T00:00:00"/>
    <n v="58"/>
    <s v="Panic Disorder"/>
    <s v="Yes"/>
    <s v="Harm-related"/>
    <s v="Praying"/>
    <n v="34"/>
    <n v="0"/>
    <s v="No"/>
    <x v="0"/>
    <x v="2"/>
    <s v="Under 30"/>
    <n v="17"/>
    <x v="1"/>
  </r>
  <r>
    <n v="34"/>
    <n v="48"/>
    <s v="Male"/>
    <s v="Hispanic"/>
    <s v="Married"/>
    <s v="Some College"/>
    <d v="2021-02-27T00:00:00"/>
    <n v="193"/>
    <s v="None"/>
    <s v="Yes"/>
    <s v="Religious"/>
    <s v="Counting"/>
    <n v="23"/>
    <n v="12"/>
    <s v="Yes"/>
    <x v="0"/>
    <x v="0"/>
    <s v="30–50"/>
    <n v="17.5"/>
    <x v="0"/>
  </r>
  <r>
    <n v="35"/>
    <n v="56"/>
    <s v="Male"/>
    <s v="Caucasian"/>
    <s v="Married"/>
    <s v="Some College"/>
    <d v="2020-03-19T00:00:00"/>
    <n v="49"/>
    <s v="None"/>
    <s v="Yes"/>
    <s v="Harm-related"/>
    <s v="Counting"/>
    <n v="20"/>
    <n v="22"/>
    <s v="Yes"/>
    <x v="1"/>
    <x v="3"/>
    <s v="Over 50"/>
    <n v="21"/>
    <x v="1"/>
  </r>
  <r>
    <n v="36"/>
    <n v="73"/>
    <s v="Female"/>
    <s v="Caucasian"/>
    <s v="Married"/>
    <s v="Graduate Degree"/>
    <d v="2017-12-27T00:00:00"/>
    <n v="112"/>
    <s v="Panic Disorder"/>
    <s v="No"/>
    <s v="Religious"/>
    <s v="Washing"/>
    <n v="17"/>
    <n v="38"/>
    <s v="Yes"/>
    <x v="1"/>
    <x v="0"/>
    <s v="Over 50"/>
    <n v="27.5"/>
    <x v="2"/>
  </r>
  <r>
    <n v="37"/>
    <n v="70"/>
    <s v="Female"/>
    <s v="Caucasian"/>
    <s v="Married"/>
    <s v="Graduate Degree"/>
    <d v="2017-04-04T00:00:00"/>
    <n v="141"/>
    <s v="Panic Disorder"/>
    <s v="Yes"/>
    <s v="Contamination"/>
    <s v="Praying"/>
    <n v="37"/>
    <n v="25"/>
    <s v="No"/>
    <x v="0"/>
    <x v="3"/>
    <s v="Over 50"/>
    <n v="31"/>
    <x v="0"/>
  </r>
  <r>
    <n v="38"/>
    <n v="33"/>
    <s v="Male"/>
    <s v="Hispanic"/>
    <s v="Divorced"/>
    <s v="High School"/>
    <d v="2019-05-22T00:00:00"/>
    <n v="160"/>
    <s v="Panic Disorder"/>
    <s v="Yes"/>
    <s v="Symmetry"/>
    <s v="Praying"/>
    <n v="38"/>
    <n v="21"/>
    <s v="No"/>
    <x v="1"/>
    <x v="3"/>
    <s v="30–50"/>
    <n v="29.5"/>
    <x v="0"/>
  </r>
  <r>
    <n v="39"/>
    <n v="41"/>
    <s v="Female"/>
    <s v="Asian"/>
    <s v="Married"/>
    <s v="High School"/>
    <d v="2014-12-30T00:00:00"/>
    <n v="134"/>
    <s v="None"/>
    <s v="No"/>
    <s v="Hoarding"/>
    <s v="Washing"/>
    <n v="8"/>
    <n v="31"/>
    <s v="No"/>
    <x v="1"/>
    <x v="2"/>
    <s v="30–50"/>
    <n v="19.5"/>
    <x v="0"/>
  </r>
  <r>
    <n v="40"/>
    <n v="58"/>
    <s v="Female"/>
    <s v="Caucasian"/>
    <s v="Married"/>
    <s v="High School"/>
    <d v="2019-12-23T00:00:00"/>
    <n v="160"/>
    <s v="PTSD"/>
    <s v="Yes"/>
    <s v="Religious"/>
    <s v="Washing"/>
    <n v="36"/>
    <n v="4"/>
    <s v="Yes"/>
    <x v="1"/>
    <x v="1"/>
    <s v="Over 50"/>
    <n v="20"/>
    <x v="0"/>
  </r>
  <r>
    <n v="41"/>
    <n v="65"/>
    <s v="Female"/>
    <s v="Hispanic"/>
    <s v="Married"/>
    <s v="Graduate Degree"/>
    <d v="2018-11-01T00:00:00"/>
    <n v="134"/>
    <s v="PTSD"/>
    <s v="Yes"/>
    <s v="Symmetry"/>
    <s v="Washing"/>
    <n v="3"/>
    <n v="4"/>
    <s v="Yes"/>
    <x v="1"/>
    <x v="1"/>
    <s v="Over 50"/>
    <n v="3.5"/>
    <x v="0"/>
  </r>
  <r>
    <n v="42"/>
    <n v="58"/>
    <s v="Male"/>
    <s v="Caucasian"/>
    <s v="Married"/>
    <s v="Some College"/>
    <d v="2020-08-15T00:00:00"/>
    <n v="140"/>
    <s v="GAD"/>
    <s v="Yes"/>
    <s v="Harm-related"/>
    <s v="Counting"/>
    <n v="17"/>
    <n v="34"/>
    <s v="No"/>
    <x v="1"/>
    <x v="2"/>
    <s v="Over 50"/>
    <n v="25.5"/>
    <x v="0"/>
  </r>
  <r>
    <n v="43"/>
    <n v="49"/>
    <s v="Female"/>
    <s v="Asian"/>
    <s v="Divorced"/>
    <s v="High School"/>
    <d v="2020-07-13T00:00:00"/>
    <n v="193"/>
    <s v="MDD"/>
    <s v="No"/>
    <s v="Hoarding"/>
    <s v="Washing"/>
    <n v="9"/>
    <n v="24"/>
    <s v="No"/>
    <x v="1"/>
    <x v="2"/>
    <s v="30–50"/>
    <n v="16.5"/>
    <x v="0"/>
  </r>
  <r>
    <n v="44"/>
    <n v="69"/>
    <s v="Female"/>
    <s v="African"/>
    <s v="Divorced"/>
    <s v="Graduate Degree"/>
    <d v="2019-01-28T00:00:00"/>
    <n v="217"/>
    <s v="Panic Disorder"/>
    <s v="No"/>
    <s v="Hoarding"/>
    <s v="Washing"/>
    <n v="28"/>
    <n v="37"/>
    <s v="No"/>
    <x v="0"/>
    <x v="3"/>
    <s v="Over 50"/>
    <n v="32.5"/>
    <x v="0"/>
  </r>
  <r>
    <n v="45"/>
    <n v="37"/>
    <s v="Male"/>
    <s v="Caucasian"/>
    <s v="Divorced"/>
    <s v="Graduate Degree"/>
    <d v="2020-01-28T00:00:00"/>
    <n v="34"/>
    <s v="MDD"/>
    <s v="Yes"/>
    <s v="Contamination"/>
    <s v="Washing"/>
    <n v="37"/>
    <n v="40"/>
    <s v="No"/>
    <x v="1"/>
    <x v="1"/>
    <s v="30–50"/>
    <n v="38.5"/>
    <x v="1"/>
  </r>
  <r>
    <n v="46"/>
    <n v="22"/>
    <s v="Male"/>
    <s v="African"/>
    <s v="Single"/>
    <s v="Graduate Degree"/>
    <d v="2016-02-25T00:00:00"/>
    <n v="207"/>
    <s v="None"/>
    <s v="Yes"/>
    <s v="Harm-related"/>
    <s v="Ordering"/>
    <n v="16"/>
    <n v="10"/>
    <s v="Yes"/>
    <x v="1"/>
    <x v="1"/>
    <s v="Under 30"/>
    <n v="13"/>
    <x v="0"/>
  </r>
  <r>
    <n v="47"/>
    <n v="63"/>
    <s v="Male"/>
    <s v="Hispanic"/>
    <s v="Married"/>
    <s v="Some College"/>
    <d v="2016-01-23T00:00:00"/>
    <n v="154"/>
    <s v="MDD"/>
    <s v="No"/>
    <s v="Contamination"/>
    <s v="Washing"/>
    <n v="13"/>
    <n v="15"/>
    <s v="No"/>
    <x v="1"/>
    <x v="2"/>
    <s v="Over 50"/>
    <n v="14"/>
    <x v="0"/>
  </r>
  <r>
    <n v="48"/>
    <n v="46"/>
    <s v="Female"/>
    <s v="Caucasian"/>
    <s v="Married"/>
    <s v="Some College"/>
    <d v="2016-08-25T00:00:00"/>
    <n v="11"/>
    <s v="MDD"/>
    <s v="No"/>
    <s v="Religious"/>
    <s v="Washing"/>
    <n v="40"/>
    <n v="1"/>
    <s v="No"/>
    <x v="1"/>
    <x v="2"/>
    <s v="30–50"/>
    <n v="20.5"/>
    <x v="1"/>
  </r>
  <r>
    <n v="49"/>
    <n v="31"/>
    <s v="Female"/>
    <s v="African"/>
    <s v="Single"/>
    <s v="College Degree"/>
    <d v="2020-03-29T00:00:00"/>
    <n v="59"/>
    <s v="MDD"/>
    <s v="Yes"/>
    <s v="Hoarding"/>
    <s v="Washing"/>
    <n v="40"/>
    <n v="32"/>
    <s v="No"/>
    <x v="0"/>
    <x v="3"/>
    <s v="30–50"/>
    <n v="36"/>
    <x v="1"/>
  </r>
  <r>
    <n v="50"/>
    <n v="72"/>
    <s v="Male"/>
    <s v="African"/>
    <s v="Divorced"/>
    <s v="Graduate Degree"/>
    <d v="2014-07-25T00:00:00"/>
    <n v="22"/>
    <s v="MDD"/>
    <s v="Yes"/>
    <s v="Religious"/>
    <s v="Washing"/>
    <n v="28"/>
    <n v="5"/>
    <s v="No"/>
    <x v="1"/>
    <x v="0"/>
    <s v="Over 50"/>
    <n v="16.5"/>
    <x v="1"/>
  </r>
  <r>
    <n v="51"/>
    <n v="64"/>
    <s v="Female"/>
    <s v="Asian"/>
    <s v="Single"/>
    <s v="Some College"/>
    <d v="2015-10-05T00:00:00"/>
    <n v="108"/>
    <s v="MDD"/>
    <s v="Yes"/>
    <s v="Religious"/>
    <s v="Counting"/>
    <n v="23"/>
    <n v="3"/>
    <s v="No"/>
    <x v="0"/>
    <x v="0"/>
    <s v="Over 50"/>
    <n v="13"/>
    <x v="2"/>
  </r>
  <r>
    <n v="52"/>
    <n v="28"/>
    <s v="Female"/>
    <s v="Asian"/>
    <s v="Single"/>
    <s v="Some College"/>
    <d v="2018-04-29T00:00:00"/>
    <n v="92"/>
    <s v="PTSD"/>
    <s v="No"/>
    <s v="Contamination"/>
    <s v="Checking"/>
    <n v="40"/>
    <n v="21"/>
    <s v="No"/>
    <x v="1"/>
    <x v="0"/>
    <s v="Under 30"/>
    <n v="30.5"/>
    <x v="2"/>
  </r>
  <r>
    <n v="53"/>
    <n v="49"/>
    <s v="Male"/>
    <s v="Hispanic"/>
    <s v="Married"/>
    <s v="Some College"/>
    <d v="2017-02-21T00:00:00"/>
    <n v="236"/>
    <s v="MDD"/>
    <s v="No"/>
    <s v="Harm-related"/>
    <s v="Counting"/>
    <n v="36"/>
    <n v="28"/>
    <s v="Yes"/>
    <x v="0"/>
    <x v="2"/>
    <s v="30–50"/>
    <n v="32"/>
    <x v="0"/>
  </r>
  <r>
    <n v="54"/>
    <n v="54"/>
    <s v="Female"/>
    <s v="Asian"/>
    <s v="Married"/>
    <s v="Graduate Degree"/>
    <d v="2021-04-01T00:00:00"/>
    <n v="65"/>
    <s v="None"/>
    <s v="Yes"/>
    <s v="Contamination"/>
    <s v="Praying"/>
    <n v="40"/>
    <n v="36"/>
    <s v="No"/>
    <x v="0"/>
    <x v="2"/>
    <s v="Over 50"/>
    <n v="38"/>
    <x v="2"/>
  </r>
  <r>
    <n v="55"/>
    <n v="49"/>
    <s v="Male"/>
    <s v="African"/>
    <s v="Divorced"/>
    <s v="High School"/>
    <d v="2017-08-09T00:00:00"/>
    <n v="47"/>
    <s v="Panic Disorder"/>
    <s v="Yes"/>
    <s v="Religious"/>
    <s v="Washing"/>
    <n v="11"/>
    <n v="9"/>
    <s v="No"/>
    <x v="1"/>
    <x v="3"/>
    <s v="30–50"/>
    <n v="10"/>
    <x v="1"/>
  </r>
  <r>
    <n v="56"/>
    <n v="61"/>
    <s v="Female"/>
    <s v="Hispanic"/>
    <s v="Divorced"/>
    <s v="Some College"/>
    <d v="2019-01-06T00:00:00"/>
    <n v="167"/>
    <s v="MDD"/>
    <s v="No"/>
    <s v="Harm-related"/>
    <s v="Counting"/>
    <n v="38"/>
    <n v="28"/>
    <s v="No"/>
    <x v="1"/>
    <x v="1"/>
    <s v="Over 50"/>
    <n v="33"/>
    <x v="0"/>
  </r>
  <r>
    <n v="57"/>
    <n v="49"/>
    <s v="Female"/>
    <s v="Caucasian"/>
    <s v="Divorced"/>
    <s v="High School"/>
    <d v="2014-11-18T00:00:00"/>
    <n v="24"/>
    <s v="GAD"/>
    <s v="No"/>
    <s v="Religious"/>
    <s v="Praying"/>
    <n v="23"/>
    <n v="26"/>
    <s v="No"/>
    <x v="1"/>
    <x v="2"/>
    <s v="30–50"/>
    <n v="24.5"/>
    <x v="1"/>
  </r>
  <r>
    <n v="58"/>
    <n v="25"/>
    <s v="Male"/>
    <s v="African"/>
    <s v="Married"/>
    <s v="Some College"/>
    <d v="2021-07-17T00:00:00"/>
    <n v="84"/>
    <s v="Panic Disorder"/>
    <s v="Yes"/>
    <s v="Symmetry"/>
    <s v="Checking"/>
    <n v="29"/>
    <n v="3"/>
    <s v="No"/>
    <x v="1"/>
    <x v="1"/>
    <s v="Under 30"/>
    <n v="16"/>
    <x v="2"/>
  </r>
  <r>
    <n v="59"/>
    <n v="38"/>
    <s v="Female"/>
    <s v="Caucasian"/>
    <s v="Divorced"/>
    <s v="High School"/>
    <d v="2021-05-26T00:00:00"/>
    <n v="154"/>
    <s v="PTSD"/>
    <s v="No"/>
    <s v="Contamination"/>
    <s v="Praying"/>
    <n v="32"/>
    <n v="33"/>
    <s v="No"/>
    <x v="1"/>
    <x v="2"/>
    <s v="30–50"/>
    <n v="32.5"/>
    <x v="0"/>
  </r>
  <r>
    <n v="60"/>
    <n v="19"/>
    <s v="Male"/>
    <s v="African"/>
    <s v="Married"/>
    <s v="High School"/>
    <d v="2014-07-11T00:00:00"/>
    <n v="90"/>
    <s v="None"/>
    <s v="Yes"/>
    <s v="Harm-related"/>
    <s v="Ordering"/>
    <n v="17"/>
    <n v="6"/>
    <s v="Yes"/>
    <x v="1"/>
    <x v="0"/>
    <s v="Under 30"/>
    <n v="11.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85975-D2E6-7343-873E-7EA9C9F5C35A}" name="PivotTable1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82:F88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pageFields count="1">
    <pageField fld="15" hier="-1"/>
  </pageFields>
  <dataFields count="1">
    <dataField name="Average of Total OCD Severity" fld="18" subtotal="average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CB0CB-C6E2-9F4A-B22D-6BF5C510A300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7:D63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6"/>
  </rowFields>
  <rowItems count="5">
    <i>
      <x v="2"/>
    </i>
    <i>
      <x v="3"/>
    </i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Avg Obsession Severity" fld="12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DC519-8585-EE45-8E25-C6482810A9C4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7:G54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Col" showAll="0">
      <items count="6">
        <item x="0"/>
        <item x="4"/>
        <item x="2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Y-BOCS Score (Obsessions)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0BED2-8EE5-C94C-A513-EBCBFD86009A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5:G2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Compulsions)" fld="13" subtotal="average" baseField="0" baseItem="0"/>
    <dataField name="Average of Y-BOCS Score (Obsessions)" fld="1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723A8-BC01-6C46-BA2B-D7AA0C599E75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C28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81F78-D983-B646-A909-3AEA4E2FDE53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G7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4B3AA-8DCE-AC4B-A13F-AA020C80EC4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6" firstHeaderRow="0" firstDataRow="1" firstDataCol="1"/>
  <pivotFields count="17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-BOCS Score (Obsessions)" fld="12" subtotal="average" baseField="0" baseItem="0"/>
    <dataField name="Average of Y-BOCS Score (Compulsions)" fld="13" subtotal="average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48B2-1D1C-1347-97EB-97BE358FF652}">
  <dimension ref="A3:G88"/>
  <sheetViews>
    <sheetView tabSelected="1" topLeftCell="A43" zoomScale="56" zoomScaleNormal="50" workbookViewId="0">
      <selection activeCell="I70" sqref="I70:I71"/>
    </sheetView>
  </sheetViews>
  <sheetFormatPr baseColWidth="10" defaultRowHeight="16" x14ac:dyDescent="0.2"/>
  <cols>
    <col min="1" max="1" width="23.1640625" customWidth="1"/>
    <col min="2" max="2" width="25.6640625" bestFit="1" customWidth="1"/>
    <col min="3" max="3" width="16" bestFit="1" customWidth="1"/>
    <col min="4" max="6" width="12.1640625" bestFit="1" customWidth="1"/>
    <col min="7" max="7" width="33.5" customWidth="1"/>
    <col min="8" max="10" width="12.5" bestFit="1" customWidth="1"/>
  </cols>
  <sheetData>
    <row r="3" spans="1:7" x14ac:dyDescent="0.2">
      <c r="A3" s="4" t="s">
        <v>50</v>
      </c>
      <c r="B3" t="s">
        <v>52</v>
      </c>
      <c r="C3" t="s">
        <v>53</v>
      </c>
      <c r="E3" s="4" t="s">
        <v>50</v>
      </c>
      <c r="F3" t="s">
        <v>52</v>
      </c>
      <c r="G3" t="s">
        <v>53</v>
      </c>
    </row>
    <row r="4" spans="1:7" x14ac:dyDescent="0.2">
      <c r="A4" s="5" t="s">
        <v>17</v>
      </c>
      <c r="B4" s="6">
        <v>24.03125</v>
      </c>
      <c r="C4" s="6">
        <v>22.28125</v>
      </c>
      <c r="E4" s="5" t="s">
        <v>55</v>
      </c>
      <c r="F4" s="6">
        <v>23.315789473684209</v>
      </c>
      <c r="G4" s="6">
        <v>22.789473684210527</v>
      </c>
    </row>
    <row r="5" spans="1:7" x14ac:dyDescent="0.2">
      <c r="A5" s="5" t="s">
        <v>27</v>
      </c>
      <c r="B5" s="6">
        <v>20.964285714285715</v>
      </c>
      <c r="C5" s="6">
        <v>15.964285714285714</v>
      </c>
      <c r="E5" s="5" t="s">
        <v>56</v>
      </c>
      <c r="F5" s="6">
        <v>20.64</v>
      </c>
      <c r="G5" s="6">
        <v>19.920000000000002</v>
      </c>
    </row>
    <row r="6" spans="1:7" x14ac:dyDescent="0.2">
      <c r="A6" s="5" t="s">
        <v>51</v>
      </c>
      <c r="B6" s="6">
        <v>22.6</v>
      </c>
      <c r="C6" s="6">
        <v>19.333333333333332</v>
      </c>
      <c r="E6" s="5" t="s">
        <v>57</v>
      </c>
      <c r="F6" s="6">
        <v>24.8125</v>
      </c>
      <c r="G6" s="6">
        <v>14.3125</v>
      </c>
    </row>
    <row r="7" spans="1:7" x14ac:dyDescent="0.2">
      <c r="E7" s="5" t="s">
        <v>51</v>
      </c>
      <c r="F7" s="6">
        <v>22.6</v>
      </c>
      <c r="G7" s="6">
        <v>19.333333333333332</v>
      </c>
    </row>
    <row r="25" spans="1:7" x14ac:dyDescent="0.2">
      <c r="A25" s="4" t="s">
        <v>50</v>
      </c>
      <c r="B25" t="s">
        <v>52</v>
      </c>
      <c r="C25" t="s">
        <v>53</v>
      </c>
      <c r="E25" s="4" t="s">
        <v>50</v>
      </c>
      <c r="F25" t="s">
        <v>53</v>
      </c>
      <c r="G25" t="s">
        <v>52</v>
      </c>
    </row>
    <row r="26" spans="1:7" x14ac:dyDescent="0.2">
      <c r="A26" s="5" t="s">
        <v>22</v>
      </c>
      <c r="B26" s="6">
        <v>26.548387096774192</v>
      </c>
      <c r="C26" s="6">
        <v>20.258064516129032</v>
      </c>
      <c r="E26" s="5" t="s">
        <v>22</v>
      </c>
      <c r="F26" s="6">
        <v>18.54054054054054</v>
      </c>
      <c r="G26" s="6">
        <v>21.891891891891891</v>
      </c>
    </row>
    <row r="27" spans="1:7" x14ac:dyDescent="0.2">
      <c r="A27" s="5" t="s">
        <v>25</v>
      </c>
      <c r="B27" s="6">
        <v>18.379310344827587</v>
      </c>
      <c r="C27" s="6">
        <v>18.344827586206897</v>
      </c>
      <c r="E27" s="5" t="s">
        <v>25</v>
      </c>
      <c r="F27" s="6">
        <v>20.608695652173914</v>
      </c>
      <c r="G27" s="6">
        <v>23.739130434782609</v>
      </c>
    </row>
    <row r="28" spans="1:7" x14ac:dyDescent="0.2">
      <c r="A28" s="5" t="s">
        <v>51</v>
      </c>
      <c r="B28" s="6">
        <v>22.6</v>
      </c>
      <c r="C28" s="6">
        <v>19.333333333333332</v>
      </c>
      <c r="E28" s="5" t="s">
        <v>51</v>
      </c>
      <c r="F28" s="6">
        <v>19.333333333333332</v>
      </c>
      <c r="G28" s="6">
        <v>22.6</v>
      </c>
    </row>
    <row r="47" spans="1:7" x14ac:dyDescent="0.2">
      <c r="A47" s="4" t="s">
        <v>52</v>
      </c>
      <c r="B47" s="4" t="s">
        <v>58</v>
      </c>
    </row>
    <row r="48" spans="1:7" x14ac:dyDescent="0.2">
      <c r="A48" s="4" t="s">
        <v>50</v>
      </c>
      <c r="B48" t="s">
        <v>24</v>
      </c>
      <c r="C48" t="s">
        <v>47</v>
      </c>
      <c r="D48" t="s">
        <v>41</v>
      </c>
      <c r="E48" t="s">
        <v>44</v>
      </c>
      <c r="F48" t="s">
        <v>30</v>
      </c>
      <c r="G48" t="s">
        <v>51</v>
      </c>
    </row>
    <row r="49" spans="1:7" x14ac:dyDescent="0.2">
      <c r="A49" s="5" t="s">
        <v>34</v>
      </c>
      <c r="B49" s="6">
        <v>25</v>
      </c>
      <c r="C49" s="6">
        <v>20.5</v>
      </c>
      <c r="D49" s="6">
        <v>28</v>
      </c>
      <c r="E49" s="6">
        <v>27</v>
      </c>
      <c r="F49" s="6">
        <v>25</v>
      </c>
      <c r="G49" s="6">
        <v>25.307692307692307</v>
      </c>
    </row>
    <row r="50" spans="1:7" x14ac:dyDescent="0.2">
      <c r="A50" s="5" t="s">
        <v>23</v>
      </c>
      <c r="B50" s="6">
        <v>28.5</v>
      </c>
      <c r="C50" s="6">
        <v>27.75</v>
      </c>
      <c r="D50" s="6">
        <v>16.5</v>
      </c>
      <c r="E50" s="6">
        <v>29.5</v>
      </c>
      <c r="F50" s="6">
        <v>14.666666666666666</v>
      </c>
      <c r="G50" s="6">
        <v>24.2</v>
      </c>
    </row>
    <row r="51" spans="1:7" x14ac:dyDescent="0.2">
      <c r="A51" s="5" t="s">
        <v>40</v>
      </c>
      <c r="B51" s="6">
        <v>4</v>
      </c>
      <c r="C51" s="6"/>
      <c r="D51" s="6">
        <v>32.5</v>
      </c>
      <c r="E51" s="6">
        <v>20</v>
      </c>
      <c r="F51" s="6">
        <v>21.4</v>
      </c>
      <c r="G51" s="6">
        <v>21.777777777777779</v>
      </c>
    </row>
    <row r="52" spans="1:7" x14ac:dyDescent="0.2">
      <c r="A52" s="5" t="s">
        <v>45</v>
      </c>
      <c r="B52" s="6">
        <v>32.5</v>
      </c>
      <c r="C52" s="6">
        <v>11.6</v>
      </c>
      <c r="D52" s="6">
        <v>30.5</v>
      </c>
      <c r="E52" s="6">
        <v>23</v>
      </c>
      <c r="F52" s="6">
        <v>21.571428571428573</v>
      </c>
      <c r="G52" s="6">
        <v>21.058823529411764</v>
      </c>
    </row>
    <row r="53" spans="1:7" x14ac:dyDescent="0.2">
      <c r="A53" s="5" t="s">
        <v>38</v>
      </c>
      <c r="B53" s="6">
        <v>29</v>
      </c>
      <c r="C53" s="6"/>
      <c r="D53" s="6"/>
      <c r="E53" s="6">
        <v>27.5</v>
      </c>
      <c r="F53" s="6">
        <v>8.6666666666666661</v>
      </c>
      <c r="G53" s="6">
        <v>18.333333333333332</v>
      </c>
    </row>
    <row r="54" spans="1:7" x14ac:dyDescent="0.2">
      <c r="A54" s="5" t="s">
        <v>51</v>
      </c>
      <c r="B54" s="6">
        <v>25.555555555555557</v>
      </c>
      <c r="C54" s="6">
        <v>19.09090909090909</v>
      </c>
      <c r="D54" s="6">
        <v>26.714285714285715</v>
      </c>
      <c r="E54" s="6">
        <v>27</v>
      </c>
      <c r="F54" s="6">
        <v>18.899999999999999</v>
      </c>
      <c r="G54" s="6">
        <v>22.6</v>
      </c>
    </row>
    <row r="57" spans="1:7" x14ac:dyDescent="0.2">
      <c r="A57" s="4" t="s">
        <v>59</v>
      </c>
      <c r="B57" s="4" t="s">
        <v>58</v>
      </c>
    </row>
    <row r="58" spans="1:7" x14ac:dyDescent="0.2">
      <c r="A58" s="4" t="s">
        <v>50</v>
      </c>
      <c r="B58" t="s">
        <v>22</v>
      </c>
      <c r="C58" t="s">
        <v>25</v>
      </c>
      <c r="D58" t="s">
        <v>51</v>
      </c>
    </row>
    <row r="59" spans="1:7" x14ac:dyDescent="0.2">
      <c r="A59" s="5" t="s">
        <v>26</v>
      </c>
      <c r="B59" s="6">
        <v>21.25</v>
      </c>
      <c r="C59" s="6">
        <v>15.75</v>
      </c>
      <c r="D59" s="6">
        <v>19.416666666666668</v>
      </c>
    </row>
    <row r="60" spans="1:7" x14ac:dyDescent="0.2">
      <c r="A60" s="5" t="s">
        <v>31</v>
      </c>
      <c r="B60" s="6">
        <v>22.5</v>
      </c>
      <c r="C60" s="6">
        <v>19.399999999999999</v>
      </c>
      <c r="D60" s="6">
        <v>21.466666666666665</v>
      </c>
    </row>
    <row r="61" spans="1:7" x14ac:dyDescent="0.2">
      <c r="A61" s="5" t="s">
        <v>35</v>
      </c>
      <c r="B61" s="6">
        <v>20.5</v>
      </c>
      <c r="C61" s="6">
        <v>25.555555555555557</v>
      </c>
      <c r="D61" s="6">
        <v>22.894736842105264</v>
      </c>
    </row>
    <row r="62" spans="1:7" x14ac:dyDescent="0.2">
      <c r="A62" s="5" t="s">
        <v>29</v>
      </c>
      <c r="B62" s="6">
        <v>23.333333333333332</v>
      </c>
      <c r="C62" s="6">
        <v>31.2</v>
      </c>
      <c r="D62" s="6">
        <v>26.142857142857142</v>
      </c>
    </row>
    <row r="63" spans="1:7" x14ac:dyDescent="0.2">
      <c r="A63" s="5" t="s">
        <v>51</v>
      </c>
      <c r="B63" s="6">
        <v>21.891891891891891</v>
      </c>
      <c r="C63" s="6">
        <v>23.739130434782609</v>
      </c>
      <c r="D63" s="6">
        <v>22.6</v>
      </c>
    </row>
    <row r="80" spans="2:3" x14ac:dyDescent="0.2">
      <c r="B80" s="4" t="s">
        <v>15</v>
      </c>
      <c r="C80" t="s">
        <v>66</v>
      </c>
    </row>
    <row r="82" spans="2:6" x14ac:dyDescent="0.2">
      <c r="B82" s="4" t="s">
        <v>65</v>
      </c>
      <c r="C82" s="4" t="s">
        <v>58</v>
      </c>
    </row>
    <row r="83" spans="2:6" x14ac:dyDescent="0.2">
      <c r="B83" s="4" t="s">
        <v>50</v>
      </c>
      <c r="C83" t="s">
        <v>62</v>
      </c>
      <c r="D83" t="s">
        <v>63</v>
      </c>
      <c r="E83" t="s">
        <v>64</v>
      </c>
      <c r="F83" t="s">
        <v>51</v>
      </c>
    </row>
    <row r="84" spans="2:6" x14ac:dyDescent="0.2">
      <c r="B84" s="5" t="s">
        <v>35</v>
      </c>
      <c r="C84" s="6">
        <v>20.136363636363637</v>
      </c>
      <c r="D84" s="6">
        <v>20</v>
      </c>
      <c r="E84" s="6">
        <v>29</v>
      </c>
      <c r="F84" s="6">
        <v>21.026315789473685</v>
      </c>
    </row>
    <row r="85" spans="2:6" x14ac:dyDescent="0.2">
      <c r="B85" s="5" t="s">
        <v>29</v>
      </c>
      <c r="C85" s="6">
        <v>28.8</v>
      </c>
      <c r="D85" s="6">
        <v>18.166666666666668</v>
      </c>
      <c r="E85" s="6">
        <v>28.5</v>
      </c>
      <c r="F85" s="6">
        <v>24.178571428571427</v>
      </c>
    </row>
    <row r="86" spans="2:6" x14ac:dyDescent="0.2">
      <c r="B86" s="5" t="s">
        <v>26</v>
      </c>
      <c r="C86" s="6">
        <v>21.5</v>
      </c>
      <c r="D86" s="6">
        <v>16.5</v>
      </c>
      <c r="E86" s="6">
        <v>17.571428571428573</v>
      </c>
      <c r="F86" s="6">
        <v>18.791666666666668</v>
      </c>
    </row>
    <row r="87" spans="2:6" x14ac:dyDescent="0.2">
      <c r="B87" s="5" t="s">
        <v>31</v>
      </c>
      <c r="C87" s="6">
        <v>18.227272727272727</v>
      </c>
      <c r="D87" s="6">
        <v>28.5</v>
      </c>
      <c r="E87" s="6">
        <v>18.5</v>
      </c>
      <c r="F87" s="6">
        <v>19.633333333333333</v>
      </c>
    </row>
    <row r="88" spans="2:6" x14ac:dyDescent="0.2">
      <c r="B88" s="5" t="s">
        <v>51</v>
      </c>
      <c r="C88" s="6">
        <v>21.032258064516128</v>
      </c>
      <c r="D88" s="6">
        <v>20.166666666666668</v>
      </c>
      <c r="E88" s="6">
        <v>21.678571428571427</v>
      </c>
      <c r="F88" s="6">
        <v>20.966666666666665</v>
      </c>
    </row>
  </sheetData>
  <conditionalFormatting sqref="A49:G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5FA3-D63B-3F48-9640-B9C086634D97}">
  <dimension ref="A1:T61"/>
  <sheetViews>
    <sheetView workbookViewId="0">
      <selection activeCell="S61" sqref="S61"/>
    </sheetView>
  </sheetViews>
  <sheetFormatPr baseColWidth="10" defaultRowHeight="16" x14ac:dyDescent="0.2"/>
  <cols>
    <col min="19" max="19" width="18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54</v>
      </c>
      <c r="S1" s="1" t="s">
        <v>60</v>
      </c>
      <c r="T1" s="1" t="s">
        <v>61</v>
      </c>
    </row>
    <row r="2" spans="1:20" x14ac:dyDescent="0.2">
      <c r="A2" s="1">
        <v>1</v>
      </c>
      <c r="B2" s="2">
        <v>32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42566</v>
      </c>
      <c r="H2" s="2">
        <v>203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17</v>
      </c>
      <c r="N2" s="2">
        <v>10</v>
      </c>
      <c r="O2" s="2" t="s">
        <v>25</v>
      </c>
      <c r="P2" s="2" t="s">
        <v>25</v>
      </c>
      <c r="Q2" s="2" t="s">
        <v>26</v>
      </c>
      <c r="R2" t="str">
        <f>IF(B2&lt;30,"Under 30",IF(B2&lt;=50,"30–50","Over 50"))</f>
        <v>30–50</v>
      </c>
      <c r="S2">
        <f>AVERAGE(M2,N2)</f>
        <v>13.5</v>
      </c>
      <c r="T2" t="str">
        <f>IF(H2&lt;=60,"0–5 yrs",IF(H2&lt;=120,"5–10 yrs","&gt;10 yrs"))</f>
        <v>&gt;10 yrs</v>
      </c>
    </row>
    <row r="3" spans="1:20" x14ac:dyDescent="0.2">
      <c r="A3" s="1">
        <v>2</v>
      </c>
      <c r="B3" s="2">
        <v>69</v>
      </c>
      <c r="C3" s="2" t="s">
        <v>27</v>
      </c>
      <c r="D3" s="2" t="s">
        <v>18</v>
      </c>
      <c r="E3" s="2" t="s">
        <v>28</v>
      </c>
      <c r="F3" s="2" t="s">
        <v>20</v>
      </c>
      <c r="G3" s="3">
        <v>42853</v>
      </c>
      <c r="H3" s="2">
        <v>180</v>
      </c>
      <c r="I3" s="2" t="s">
        <v>29</v>
      </c>
      <c r="J3" s="2" t="s">
        <v>25</v>
      </c>
      <c r="K3" s="2" t="s">
        <v>23</v>
      </c>
      <c r="L3" s="2" t="s">
        <v>30</v>
      </c>
      <c r="M3" s="2">
        <v>21</v>
      </c>
      <c r="N3" s="2">
        <v>25</v>
      </c>
      <c r="O3" s="2" t="s">
        <v>25</v>
      </c>
      <c r="P3" s="2" t="s">
        <v>25</v>
      </c>
      <c r="Q3" s="2" t="s">
        <v>31</v>
      </c>
      <c r="R3" t="str">
        <f t="shared" ref="R3:R61" si="0">IF(B3&lt;30,"Under 30",IF(B3&lt;=50,"30–50","Over 50"))</f>
        <v>Over 50</v>
      </c>
      <c r="S3">
        <f t="shared" ref="S3:S61" si="1">AVERAGE(M3,N3)</f>
        <v>23</v>
      </c>
      <c r="T3" t="str">
        <f t="shared" ref="T3:T61" si="2">IF(H3&lt;=60,"0–5 yrs",IF(H3&lt;=120,"5–10 yrs","&gt;10 yrs"))</f>
        <v>&gt;10 yrs</v>
      </c>
    </row>
    <row r="4" spans="1:20" x14ac:dyDescent="0.2">
      <c r="A4" s="1">
        <v>3</v>
      </c>
      <c r="B4" s="2">
        <v>57</v>
      </c>
      <c r="C4" s="2" t="s">
        <v>27</v>
      </c>
      <c r="D4" s="2" t="s">
        <v>32</v>
      </c>
      <c r="E4" s="2" t="s">
        <v>28</v>
      </c>
      <c r="F4" s="2" t="s">
        <v>33</v>
      </c>
      <c r="G4" s="3">
        <v>43133</v>
      </c>
      <c r="H4" s="2">
        <v>173</v>
      </c>
      <c r="I4" s="2" t="s">
        <v>21</v>
      </c>
      <c r="J4" s="2" t="s">
        <v>22</v>
      </c>
      <c r="K4" s="2" t="s">
        <v>34</v>
      </c>
      <c r="L4" s="2" t="s">
        <v>24</v>
      </c>
      <c r="M4" s="2">
        <v>3</v>
      </c>
      <c r="N4" s="2">
        <v>4</v>
      </c>
      <c r="O4" s="2" t="s">
        <v>22</v>
      </c>
      <c r="P4" s="2" t="s">
        <v>22</v>
      </c>
      <c r="Q4" s="2" t="s">
        <v>35</v>
      </c>
      <c r="R4" t="str">
        <f t="shared" si="0"/>
        <v>Over 50</v>
      </c>
      <c r="S4">
        <f t="shared" si="1"/>
        <v>3.5</v>
      </c>
      <c r="T4" t="str">
        <f t="shared" si="2"/>
        <v>&gt;10 yrs</v>
      </c>
    </row>
    <row r="5" spans="1:20" x14ac:dyDescent="0.2">
      <c r="A5" s="1">
        <v>4</v>
      </c>
      <c r="B5" s="2">
        <v>27</v>
      </c>
      <c r="C5" s="2" t="s">
        <v>17</v>
      </c>
      <c r="D5" s="2" t="s">
        <v>32</v>
      </c>
      <c r="E5" s="2" t="s">
        <v>36</v>
      </c>
      <c r="F5" s="2" t="s">
        <v>33</v>
      </c>
      <c r="G5" s="3">
        <v>41876</v>
      </c>
      <c r="H5" s="2">
        <v>126</v>
      </c>
      <c r="I5" s="2" t="s">
        <v>37</v>
      </c>
      <c r="J5" s="2" t="s">
        <v>25</v>
      </c>
      <c r="K5" s="2" t="s">
        <v>38</v>
      </c>
      <c r="L5" s="2" t="s">
        <v>30</v>
      </c>
      <c r="M5" s="2">
        <v>14</v>
      </c>
      <c r="N5" s="2">
        <v>28</v>
      </c>
      <c r="O5" s="2" t="s">
        <v>25</v>
      </c>
      <c r="P5" s="2" t="s">
        <v>25</v>
      </c>
      <c r="Q5" s="2" t="s">
        <v>31</v>
      </c>
      <c r="R5" t="str">
        <f t="shared" si="0"/>
        <v>Under 30</v>
      </c>
      <c r="S5">
        <f t="shared" si="1"/>
        <v>21</v>
      </c>
      <c r="T5" t="str">
        <f t="shared" si="2"/>
        <v>&gt;10 yrs</v>
      </c>
    </row>
    <row r="6" spans="1:20" x14ac:dyDescent="0.2">
      <c r="A6" s="1">
        <v>5</v>
      </c>
      <c r="B6" s="2">
        <v>56</v>
      </c>
      <c r="C6" s="2" t="s">
        <v>17</v>
      </c>
      <c r="D6" s="2" t="s">
        <v>32</v>
      </c>
      <c r="E6" s="2" t="s">
        <v>36</v>
      </c>
      <c r="F6" s="2" t="s">
        <v>39</v>
      </c>
      <c r="G6" s="3">
        <v>44612</v>
      </c>
      <c r="H6" s="2">
        <v>168</v>
      </c>
      <c r="I6" s="2" t="s">
        <v>37</v>
      </c>
      <c r="J6" s="2" t="s">
        <v>25</v>
      </c>
      <c r="K6" s="2" t="s">
        <v>40</v>
      </c>
      <c r="L6" s="2" t="s">
        <v>41</v>
      </c>
      <c r="M6" s="2">
        <v>39</v>
      </c>
      <c r="N6" s="2">
        <v>18</v>
      </c>
      <c r="O6" s="2" t="s">
        <v>22</v>
      </c>
      <c r="P6" s="2" t="s">
        <v>22</v>
      </c>
      <c r="Q6" s="2" t="s">
        <v>29</v>
      </c>
      <c r="R6" t="str">
        <f t="shared" si="0"/>
        <v>Over 50</v>
      </c>
      <c r="S6">
        <f t="shared" si="1"/>
        <v>28.5</v>
      </c>
      <c r="T6" t="str">
        <f t="shared" si="2"/>
        <v>&gt;10 yrs</v>
      </c>
    </row>
    <row r="7" spans="1:20" x14ac:dyDescent="0.2">
      <c r="A7" s="1">
        <v>6</v>
      </c>
      <c r="B7" s="2">
        <v>32</v>
      </c>
      <c r="C7" s="2" t="s">
        <v>17</v>
      </c>
      <c r="D7" s="2" t="s">
        <v>42</v>
      </c>
      <c r="E7" s="2" t="s">
        <v>36</v>
      </c>
      <c r="F7" s="2" t="s">
        <v>33</v>
      </c>
      <c r="G7" s="3">
        <v>42546</v>
      </c>
      <c r="H7" s="2">
        <v>46</v>
      </c>
      <c r="I7" s="2" t="s">
        <v>43</v>
      </c>
      <c r="J7" s="2" t="s">
        <v>22</v>
      </c>
      <c r="K7" s="2" t="s">
        <v>40</v>
      </c>
      <c r="L7" s="2" t="s">
        <v>41</v>
      </c>
      <c r="M7" s="2">
        <v>26</v>
      </c>
      <c r="N7" s="2">
        <v>11</v>
      </c>
      <c r="O7" s="2" t="s">
        <v>25</v>
      </c>
      <c r="P7" s="2" t="s">
        <v>25</v>
      </c>
      <c r="Q7" s="2" t="s">
        <v>31</v>
      </c>
      <c r="R7" t="str">
        <f t="shared" si="0"/>
        <v>30–50</v>
      </c>
      <c r="S7">
        <f t="shared" si="1"/>
        <v>18.5</v>
      </c>
      <c r="T7" t="str">
        <f t="shared" si="2"/>
        <v>0–5 yrs</v>
      </c>
    </row>
    <row r="8" spans="1:20" x14ac:dyDescent="0.2">
      <c r="A8" s="1">
        <v>7</v>
      </c>
      <c r="B8" s="2">
        <v>38</v>
      </c>
      <c r="C8" s="2" t="s">
        <v>17</v>
      </c>
      <c r="D8" s="2" t="s">
        <v>32</v>
      </c>
      <c r="E8" s="2" t="s">
        <v>19</v>
      </c>
      <c r="F8" s="2" t="s">
        <v>33</v>
      </c>
      <c r="G8" s="3">
        <v>42807</v>
      </c>
      <c r="H8" s="2">
        <v>110</v>
      </c>
      <c r="I8" s="2" t="s">
        <v>21</v>
      </c>
      <c r="J8" s="2" t="s">
        <v>22</v>
      </c>
      <c r="K8" s="2" t="s">
        <v>34</v>
      </c>
      <c r="L8" s="2" t="s">
        <v>44</v>
      </c>
      <c r="M8" s="2">
        <v>12</v>
      </c>
      <c r="N8" s="2">
        <v>16</v>
      </c>
      <c r="O8" s="2" t="s">
        <v>25</v>
      </c>
      <c r="P8" s="2" t="s">
        <v>22</v>
      </c>
      <c r="Q8" s="2" t="s">
        <v>26</v>
      </c>
      <c r="R8" t="str">
        <f t="shared" si="0"/>
        <v>30–50</v>
      </c>
      <c r="S8">
        <f t="shared" si="1"/>
        <v>14</v>
      </c>
      <c r="T8" t="str">
        <f t="shared" si="2"/>
        <v>5–10 yrs</v>
      </c>
    </row>
    <row r="9" spans="1:20" x14ac:dyDescent="0.2">
      <c r="A9" s="1">
        <v>8</v>
      </c>
      <c r="B9" s="2">
        <v>57</v>
      </c>
      <c r="C9" s="2" t="s">
        <v>27</v>
      </c>
      <c r="D9" s="2" t="s">
        <v>32</v>
      </c>
      <c r="E9" s="2" t="s">
        <v>28</v>
      </c>
      <c r="F9" s="2" t="s">
        <v>33</v>
      </c>
      <c r="G9" s="3">
        <v>42241</v>
      </c>
      <c r="H9" s="2">
        <v>197</v>
      </c>
      <c r="I9" s="2" t="s">
        <v>37</v>
      </c>
      <c r="J9" s="2" t="s">
        <v>22</v>
      </c>
      <c r="K9" s="2" t="s">
        <v>45</v>
      </c>
      <c r="L9" s="2" t="s">
        <v>41</v>
      </c>
      <c r="M9" s="2">
        <v>31</v>
      </c>
      <c r="N9" s="2">
        <v>4</v>
      </c>
      <c r="O9" s="2" t="s">
        <v>25</v>
      </c>
      <c r="P9" s="2" t="s">
        <v>22</v>
      </c>
      <c r="Q9" s="2" t="s">
        <v>31</v>
      </c>
      <c r="R9" t="str">
        <f t="shared" si="0"/>
        <v>Over 50</v>
      </c>
      <c r="S9">
        <f t="shared" si="1"/>
        <v>17.5</v>
      </c>
      <c r="T9" t="str">
        <f t="shared" si="2"/>
        <v>&gt;10 yrs</v>
      </c>
    </row>
    <row r="10" spans="1:20" x14ac:dyDescent="0.2">
      <c r="A10" s="1">
        <v>9</v>
      </c>
      <c r="B10" s="2">
        <v>36</v>
      </c>
      <c r="C10" s="2" t="s">
        <v>27</v>
      </c>
      <c r="D10" s="2" t="s">
        <v>32</v>
      </c>
      <c r="E10" s="2" t="s">
        <v>28</v>
      </c>
      <c r="F10" s="2" t="s">
        <v>33</v>
      </c>
      <c r="G10" s="3">
        <v>42632</v>
      </c>
      <c r="H10" s="2">
        <v>84</v>
      </c>
      <c r="I10" s="2" t="s">
        <v>29</v>
      </c>
      <c r="J10" s="2" t="s">
        <v>22</v>
      </c>
      <c r="K10" s="2" t="s">
        <v>23</v>
      </c>
      <c r="L10" s="2" t="s">
        <v>44</v>
      </c>
      <c r="M10" s="2">
        <v>37</v>
      </c>
      <c r="N10" s="2">
        <v>24</v>
      </c>
      <c r="O10" s="2" t="s">
        <v>22</v>
      </c>
      <c r="P10" s="2" t="s">
        <v>25</v>
      </c>
      <c r="Q10" s="2" t="s">
        <v>29</v>
      </c>
      <c r="R10" t="str">
        <f t="shared" si="0"/>
        <v>30–50</v>
      </c>
      <c r="S10">
        <f t="shared" si="1"/>
        <v>30.5</v>
      </c>
      <c r="T10" t="str">
        <f t="shared" si="2"/>
        <v>5–10 yrs</v>
      </c>
    </row>
    <row r="11" spans="1:20" x14ac:dyDescent="0.2">
      <c r="A11" s="1">
        <v>10</v>
      </c>
      <c r="B11" s="2">
        <v>72</v>
      </c>
      <c r="C11" s="2" t="s">
        <v>17</v>
      </c>
      <c r="D11" s="2" t="s">
        <v>32</v>
      </c>
      <c r="E11" s="2" t="s">
        <v>28</v>
      </c>
      <c r="F11" s="2" t="s">
        <v>46</v>
      </c>
      <c r="G11" s="3">
        <v>41833</v>
      </c>
      <c r="H11" s="2">
        <v>47</v>
      </c>
      <c r="I11" s="2" t="s">
        <v>43</v>
      </c>
      <c r="J11" s="2" t="s">
        <v>25</v>
      </c>
      <c r="K11" s="2" t="s">
        <v>34</v>
      </c>
      <c r="L11" s="2" t="s">
        <v>41</v>
      </c>
      <c r="M11" s="2">
        <v>28</v>
      </c>
      <c r="N11" s="2">
        <v>36</v>
      </c>
      <c r="O11" s="2" t="s">
        <v>25</v>
      </c>
      <c r="P11" s="2" t="s">
        <v>25</v>
      </c>
      <c r="Q11" s="2" t="s">
        <v>35</v>
      </c>
      <c r="R11" t="str">
        <f t="shared" si="0"/>
        <v>Over 50</v>
      </c>
      <c r="S11">
        <f t="shared" si="1"/>
        <v>32</v>
      </c>
      <c r="T11" t="str">
        <f t="shared" si="2"/>
        <v>0–5 yrs</v>
      </c>
    </row>
    <row r="12" spans="1:20" x14ac:dyDescent="0.2">
      <c r="A12" s="1">
        <v>11</v>
      </c>
      <c r="B12" s="2">
        <v>21</v>
      </c>
      <c r="C12" s="2" t="s">
        <v>17</v>
      </c>
      <c r="D12" s="2" t="s">
        <v>18</v>
      </c>
      <c r="E12" s="2" t="s">
        <v>36</v>
      </c>
      <c r="F12" s="2" t="s">
        <v>33</v>
      </c>
      <c r="G12" s="3">
        <v>41991</v>
      </c>
      <c r="H12" s="2">
        <v>95</v>
      </c>
      <c r="I12" s="2" t="s">
        <v>43</v>
      </c>
      <c r="J12" s="2" t="s">
        <v>25</v>
      </c>
      <c r="K12" s="2" t="s">
        <v>23</v>
      </c>
      <c r="L12" s="2" t="s">
        <v>24</v>
      </c>
      <c r="M12" s="2">
        <v>40</v>
      </c>
      <c r="N12" s="2">
        <v>26</v>
      </c>
      <c r="O12" s="2" t="s">
        <v>25</v>
      </c>
      <c r="P12" s="2" t="s">
        <v>22</v>
      </c>
      <c r="Q12" s="2" t="s">
        <v>29</v>
      </c>
      <c r="R12" t="str">
        <f t="shared" si="0"/>
        <v>Under 30</v>
      </c>
      <c r="S12">
        <f t="shared" si="1"/>
        <v>33</v>
      </c>
      <c r="T12" t="str">
        <f t="shared" si="2"/>
        <v>5–10 yrs</v>
      </c>
    </row>
    <row r="13" spans="1:20" x14ac:dyDescent="0.2">
      <c r="A13" s="1">
        <v>12</v>
      </c>
      <c r="B13" s="2">
        <v>73</v>
      </c>
      <c r="C13" s="2" t="s">
        <v>17</v>
      </c>
      <c r="D13" s="2" t="s">
        <v>32</v>
      </c>
      <c r="E13" s="2" t="s">
        <v>28</v>
      </c>
      <c r="F13" s="2" t="s">
        <v>39</v>
      </c>
      <c r="G13" s="3">
        <v>42748</v>
      </c>
      <c r="H13" s="2">
        <v>233</v>
      </c>
      <c r="I13" s="2" t="s">
        <v>43</v>
      </c>
      <c r="J13" s="2" t="s">
        <v>22</v>
      </c>
      <c r="K13" s="2" t="s">
        <v>45</v>
      </c>
      <c r="L13" s="2" t="s">
        <v>47</v>
      </c>
      <c r="M13" s="2">
        <v>4</v>
      </c>
      <c r="N13" s="2">
        <v>16</v>
      </c>
      <c r="O13" s="2" t="s">
        <v>25</v>
      </c>
      <c r="P13" s="2" t="s">
        <v>25</v>
      </c>
      <c r="Q13" s="2" t="s">
        <v>35</v>
      </c>
      <c r="R13" t="str">
        <f t="shared" si="0"/>
        <v>Over 50</v>
      </c>
      <c r="S13">
        <f t="shared" si="1"/>
        <v>10</v>
      </c>
      <c r="T13" t="str">
        <f t="shared" si="2"/>
        <v>&gt;10 yrs</v>
      </c>
    </row>
    <row r="14" spans="1:20" x14ac:dyDescent="0.2">
      <c r="A14" s="1">
        <v>13</v>
      </c>
      <c r="B14" s="2">
        <v>23</v>
      </c>
      <c r="C14" s="2" t="s">
        <v>17</v>
      </c>
      <c r="D14" s="2" t="s">
        <v>32</v>
      </c>
      <c r="E14" s="2" t="s">
        <v>36</v>
      </c>
      <c r="F14" s="2" t="s">
        <v>39</v>
      </c>
      <c r="G14" s="3">
        <v>42164</v>
      </c>
      <c r="H14" s="2">
        <v>48</v>
      </c>
      <c r="I14" s="2" t="s">
        <v>48</v>
      </c>
      <c r="J14" s="2" t="s">
        <v>22</v>
      </c>
      <c r="K14" s="2" t="s">
        <v>34</v>
      </c>
      <c r="L14" s="2" t="s">
        <v>44</v>
      </c>
      <c r="M14" s="2">
        <v>14</v>
      </c>
      <c r="N14" s="2">
        <v>27</v>
      </c>
      <c r="O14" s="2" t="s">
        <v>25</v>
      </c>
      <c r="P14" s="2" t="s">
        <v>25</v>
      </c>
      <c r="Q14" s="2" t="s">
        <v>29</v>
      </c>
      <c r="R14" t="str">
        <f t="shared" si="0"/>
        <v>Under 30</v>
      </c>
      <c r="S14">
        <f t="shared" si="1"/>
        <v>20.5</v>
      </c>
      <c r="T14" t="str">
        <f t="shared" si="2"/>
        <v>0–5 yrs</v>
      </c>
    </row>
    <row r="15" spans="1:20" x14ac:dyDescent="0.2">
      <c r="A15" s="1">
        <v>14</v>
      </c>
      <c r="B15" s="2">
        <v>68</v>
      </c>
      <c r="C15" s="2" t="s">
        <v>17</v>
      </c>
      <c r="D15" s="2" t="s">
        <v>49</v>
      </c>
      <c r="E15" s="2" t="s">
        <v>19</v>
      </c>
      <c r="F15" s="2" t="s">
        <v>20</v>
      </c>
      <c r="G15" s="3">
        <v>43568</v>
      </c>
      <c r="H15" s="2">
        <v>126</v>
      </c>
      <c r="I15" s="2" t="s">
        <v>21</v>
      </c>
      <c r="J15" s="2" t="s">
        <v>22</v>
      </c>
      <c r="K15" s="2" t="s">
        <v>34</v>
      </c>
      <c r="L15" s="2" t="s">
        <v>47</v>
      </c>
      <c r="M15" s="2">
        <v>10</v>
      </c>
      <c r="N15" s="2">
        <v>39</v>
      </c>
      <c r="O15" s="2" t="s">
        <v>25</v>
      </c>
      <c r="P15" s="2" t="s">
        <v>22</v>
      </c>
      <c r="Q15" s="2" t="s">
        <v>31</v>
      </c>
      <c r="R15" t="str">
        <f t="shared" si="0"/>
        <v>Over 50</v>
      </c>
      <c r="S15">
        <f t="shared" si="1"/>
        <v>24.5</v>
      </c>
      <c r="T15" t="str">
        <f t="shared" si="2"/>
        <v>&gt;10 yrs</v>
      </c>
    </row>
    <row r="16" spans="1:20" x14ac:dyDescent="0.2">
      <c r="A16" s="1">
        <v>15</v>
      </c>
      <c r="B16" s="2">
        <v>48</v>
      </c>
      <c r="C16" s="2" t="s">
        <v>17</v>
      </c>
      <c r="D16" s="2" t="s">
        <v>49</v>
      </c>
      <c r="E16" s="2" t="s">
        <v>28</v>
      </c>
      <c r="F16" s="2" t="s">
        <v>39</v>
      </c>
      <c r="G16" s="3">
        <v>44067</v>
      </c>
      <c r="H16" s="2">
        <v>141</v>
      </c>
      <c r="I16" s="2" t="s">
        <v>21</v>
      </c>
      <c r="J16" s="2" t="s">
        <v>25</v>
      </c>
      <c r="K16" s="2" t="s">
        <v>23</v>
      </c>
      <c r="L16" s="2" t="s">
        <v>30</v>
      </c>
      <c r="M16" s="2">
        <v>23</v>
      </c>
      <c r="N16" s="2">
        <v>39</v>
      </c>
      <c r="O16" s="2" t="s">
        <v>22</v>
      </c>
      <c r="P16" s="2" t="s">
        <v>22</v>
      </c>
      <c r="Q16" s="2" t="s">
        <v>26</v>
      </c>
      <c r="R16" t="str">
        <f t="shared" si="0"/>
        <v>30–50</v>
      </c>
      <c r="S16">
        <f t="shared" si="1"/>
        <v>31</v>
      </c>
      <c r="T16" t="str">
        <f t="shared" si="2"/>
        <v>&gt;10 yrs</v>
      </c>
    </row>
    <row r="17" spans="1:20" x14ac:dyDescent="0.2">
      <c r="A17" s="1">
        <v>16</v>
      </c>
      <c r="B17" s="2">
        <v>29</v>
      </c>
      <c r="C17" s="2" t="s">
        <v>27</v>
      </c>
      <c r="D17" s="2" t="s">
        <v>32</v>
      </c>
      <c r="E17" s="2" t="s">
        <v>36</v>
      </c>
      <c r="F17" s="2" t="s">
        <v>33</v>
      </c>
      <c r="G17" s="3">
        <v>44797</v>
      </c>
      <c r="H17" s="2">
        <v>108</v>
      </c>
      <c r="I17" s="2" t="s">
        <v>37</v>
      </c>
      <c r="J17" s="2" t="s">
        <v>25</v>
      </c>
      <c r="K17" s="2" t="s">
        <v>38</v>
      </c>
      <c r="L17" s="2" t="s">
        <v>44</v>
      </c>
      <c r="M17" s="2">
        <v>17</v>
      </c>
      <c r="N17" s="2">
        <v>25</v>
      </c>
      <c r="O17" s="2" t="s">
        <v>22</v>
      </c>
      <c r="P17" s="2" t="s">
        <v>25</v>
      </c>
      <c r="Q17" s="2" t="s">
        <v>31</v>
      </c>
      <c r="R17" t="str">
        <f t="shared" si="0"/>
        <v>Under 30</v>
      </c>
      <c r="S17">
        <f t="shared" si="1"/>
        <v>21</v>
      </c>
      <c r="T17" t="str">
        <f t="shared" si="2"/>
        <v>5–10 yrs</v>
      </c>
    </row>
    <row r="18" spans="1:20" x14ac:dyDescent="0.2">
      <c r="A18" s="1">
        <v>17</v>
      </c>
      <c r="B18" s="2">
        <v>25</v>
      </c>
      <c r="C18" s="2" t="s">
        <v>27</v>
      </c>
      <c r="D18" s="2" t="s">
        <v>18</v>
      </c>
      <c r="E18" s="2" t="s">
        <v>36</v>
      </c>
      <c r="F18" s="2" t="s">
        <v>33</v>
      </c>
      <c r="G18" s="3">
        <v>44216</v>
      </c>
      <c r="H18" s="2">
        <v>206</v>
      </c>
      <c r="I18" s="2" t="s">
        <v>48</v>
      </c>
      <c r="J18" s="2" t="s">
        <v>25</v>
      </c>
      <c r="K18" s="2" t="s">
        <v>45</v>
      </c>
      <c r="L18" s="2" t="s">
        <v>47</v>
      </c>
      <c r="M18" s="2">
        <v>7</v>
      </c>
      <c r="N18" s="2">
        <v>21</v>
      </c>
      <c r="O18" s="2" t="s">
        <v>25</v>
      </c>
      <c r="P18" s="2" t="s">
        <v>22</v>
      </c>
      <c r="Q18" s="2" t="s">
        <v>31</v>
      </c>
      <c r="R18" t="str">
        <f t="shared" si="0"/>
        <v>Under 30</v>
      </c>
      <c r="S18">
        <f t="shared" si="1"/>
        <v>14</v>
      </c>
      <c r="T18" t="str">
        <f t="shared" si="2"/>
        <v>&gt;10 yrs</v>
      </c>
    </row>
    <row r="19" spans="1:20" x14ac:dyDescent="0.2">
      <c r="A19" s="1">
        <v>18</v>
      </c>
      <c r="B19" s="2">
        <v>55</v>
      </c>
      <c r="C19" s="2" t="s">
        <v>17</v>
      </c>
      <c r="D19" s="2" t="s">
        <v>18</v>
      </c>
      <c r="E19" s="2" t="s">
        <v>28</v>
      </c>
      <c r="F19" s="2" t="s">
        <v>39</v>
      </c>
      <c r="G19" s="3">
        <v>44219</v>
      </c>
      <c r="H19" s="2">
        <v>147</v>
      </c>
      <c r="I19" s="2" t="s">
        <v>29</v>
      </c>
      <c r="J19" s="2" t="s">
        <v>25</v>
      </c>
      <c r="K19" s="2" t="s">
        <v>45</v>
      </c>
      <c r="L19" s="2" t="s">
        <v>24</v>
      </c>
      <c r="M19" s="2">
        <v>38</v>
      </c>
      <c r="N19" s="2">
        <v>20</v>
      </c>
      <c r="O19" s="2" t="s">
        <v>22</v>
      </c>
      <c r="P19" s="2" t="s">
        <v>25</v>
      </c>
      <c r="Q19" s="2" t="s">
        <v>35</v>
      </c>
      <c r="R19" t="str">
        <f t="shared" si="0"/>
        <v>Over 50</v>
      </c>
      <c r="S19">
        <f t="shared" si="1"/>
        <v>29</v>
      </c>
      <c r="T19" t="str">
        <f t="shared" si="2"/>
        <v>&gt;10 yrs</v>
      </c>
    </row>
    <row r="20" spans="1:20" x14ac:dyDescent="0.2">
      <c r="A20" s="1">
        <v>19</v>
      </c>
      <c r="B20" s="2">
        <v>50</v>
      </c>
      <c r="C20" s="2" t="s">
        <v>17</v>
      </c>
      <c r="D20" s="2" t="s">
        <v>18</v>
      </c>
      <c r="E20" s="2" t="s">
        <v>19</v>
      </c>
      <c r="F20" s="2" t="s">
        <v>20</v>
      </c>
      <c r="G20" s="3">
        <v>43043</v>
      </c>
      <c r="H20" s="2">
        <v>62</v>
      </c>
      <c r="I20" s="2" t="s">
        <v>29</v>
      </c>
      <c r="J20" s="2" t="s">
        <v>25</v>
      </c>
      <c r="K20" s="2" t="s">
        <v>40</v>
      </c>
      <c r="L20" s="2" t="s">
        <v>30</v>
      </c>
      <c r="M20" s="2">
        <v>22</v>
      </c>
      <c r="N20" s="2">
        <v>22</v>
      </c>
      <c r="O20" s="2" t="s">
        <v>22</v>
      </c>
      <c r="P20" s="2" t="s">
        <v>22</v>
      </c>
      <c r="Q20" s="2" t="s">
        <v>29</v>
      </c>
      <c r="R20" t="str">
        <f t="shared" si="0"/>
        <v>30–50</v>
      </c>
      <c r="S20">
        <f t="shared" si="1"/>
        <v>22</v>
      </c>
      <c r="T20" t="str">
        <f t="shared" si="2"/>
        <v>5–10 yrs</v>
      </c>
    </row>
    <row r="21" spans="1:20" x14ac:dyDescent="0.2">
      <c r="A21" s="1">
        <v>20</v>
      </c>
      <c r="B21" s="2">
        <v>66</v>
      </c>
      <c r="C21" s="2" t="s">
        <v>17</v>
      </c>
      <c r="D21" s="2" t="s">
        <v>42</v>
      </c>
      <c r="E21" s="2" t="s">
        <v>28</v>
      </c>
      <c r="F21" s="2" t="s">
        <v>33</v>
      </c>
      <c r="G21" s="3">
        <v>43326</v>
      </c>
      <c r="H21" s="2">
        <v>73</v>
      </c>
      <c r="I21" s="2" t="s">
        <v>48</v>
      </c>
      <c r="J21" s="2" t="s">
        <v>22</v>
      </c>
      <c r="K21" s="2" t="s">
        <v>23</v>
      </c>
      <c r="L21" s="2" t="s">
        <v>30</v>
      </c>
      <c r="M21" s="2">
        <v>0</v>
      </c>
      <c r="N21" s="2">
        <v>12</v>
      </c>
      <c r="O21" s="2" t="s">
        <v>22</v>
      </c>
      <c r="P21" s="2" t="s">
        <v>25</v>
      </c>
      <c r="Q21" s="2" t="s">
        <v>26</v>
      </c>
      <c r="R21" t="str">
        <f t="shared" si="0"/>
        <v>Over 50</v>
      </c>
      <c r="S21">
        <f t="shared" si="1"/>
        <v>6</v>
      </c>
      <c r="T21" t="str">
        <f t="shared" si="2"/>
        <v>5–10 yrs</v>
      </c>
    </row>
    <row r="22" spans="1:20" x14ac:dyDescent="0.2">
      <c r="A22" s="1">
        <v>21</v>
      </c>
      <c r="B22" s="2">
        <v>27</v>
      </c>
      <c r="C22" s="2" t="s">
        <v>27</v>
      </c>
      <c r="D22" s="2" t="s">
        <v>42</v>
      </c>
      <c r="E22" s="2" t="s">
        <v>19</v>
      </c>
      <c r="F22" s="2" t="s">
        <v>46</v>
      </c>
      <c r="G22" s="3">
        <v>42314</v>
      </c>
      <c r="H22" s="2">
        <v>220</v>
      </c>
      <c r="I22" s="2" t="s">
        <v>37</v>
      </c>
      <c r="J22" s="2" t="s">
        <v>25</v>
      </c>
      <c r="K22" s="2" t="s">
        <v>45</v>
      </c>
      <c r="L22" s="2" t="s">
        <v>41</v>
      </c>
      <c r="M22" s="2">
        <v>30</v>
      </c>
      <c r="N22" s="2">
        <v>4</v>
      </c>
      <c r="O22" s="2" t="s">
        <v>25</v>
      </c>
      <c r="P22" s="2" t="s">
        <v>25</v>
      </c>
      <c r="Q22" s="2" t="s">
        <v>35</v>
      </c>
      <c r="R22" t="str">
        <f t="shared" si="0"/>
        <v>Under 30</v>
      </c>
      <c r="S22">
        <f t="shared" si="1"/>
        <v>17</v>
      </c>
      <c r="T22" t="str">
        <f t="shared" si="2"/>
        <v>&gt;10 yrs</v>
      </c>
    </row>
    <row r="23" spans="1:20" x14ac:dyDescent="0.2">
      <c r="A23" s="1">
        <v>22</v>
      </c>
      <c r="B23" s="2">
        <v>62</v>
      </c>
      <c r="C23" s="2" t="s">
        <v>27</v>
      </c>
      <c r="D23" s="2" t="s">
        <v>49</v>
      </c>
      <c r="E23" s="2" t="s">
        <v>19</v>
      </c>
      <c r="F23" s="2" t="s">
        <v>46</v>
      </c>
      <c r="G23" s="3">
        <v>44831</v>
      </c>
      <c r="H23" s="2">
        <v>89</v>
      </c>
      <c r="I23" s="2" t="s">
        <v>37</v>
      </c>
      <c r="J23" s="2" t="s">
        <v>25</v>
      </c>
      <c r="K23" s="2" t="s">
        <v>45</v>
      </c>
      <c r="L23" s="2" t="s">
        <v>47</v>
      </c>
      <c r="M23" s="2">
        <v>1</v>
      </c>
      <c r="N23" s="2">
        <v>40</v>
      </c>
      <c r="O23" s="2" t="s">
        <v>25</v>
      </c>
      <c r="P23" s="2" t="s">
        <v>22</v>
      </c>
      <c r="Q23" s="2" t="s">
        <v>26</v>
      </c>
      <c r="R23" t="str">
        <f t="shared" si="0"/>
        <v>Over 50</v>
      </c>
      <c r="S23">
        <f t="shared" si="1"/>
        <v>20.5</v>
      </c>
      <c r="T23" t="str">
        <f t="shared" si="2"/>
        <v>5–10 yrs</v>
      </c>
    </row>
    <row r="24" spans="1:20" x14ac:dyDescent="0.2">
      <c r="A24" s="1">
        <v>23</v>
      </c>
      <c r="B24" s="2">
        <v>28</v>
      </c>
      <c r="C24" s="2" t="s">
        <v>27</v>
      </c>
      <c r="D24" s="2" t="s">
        <v>49</v>
      </c>
      <c r="E24" s="2" t="s">
        <v>19</v>
      </c>
      <c r="F24" s="2" t="s">
        <v>33</v>
      </c>
      <c r="G24" s="3">
        <v>42605</v>
      </c>
      <c r="H24" s="2">
        <v>208</v>
      </c>
      <c r="I24" s="2" t="s">
        <v>37</v>
      </c>
      <c r="J24" s="2" t="s">
        <v>22</v>
      </c>
      <c r="K24" s="2" t="s">
        <v>34</v>
      </c>
      <c r="L24" s="2" t="s">
        <v>24</v>
      </c>
      <c r="M24" s="2">
        <v>32</v>
      </c>
      <c r="N24" s="2">
        <v>16</v>
      </c>
      <c r="O24" s="2" t="s">
        <v>22</v>
      </c>
      <c r="P24" s="2" t="s">
        <v>22</v>
      </c>
      <c r="Q24" s="2" t="s">
        <v>26</v>
      </c>
      <c r="R24" t="str">
        <f t="shared" si="0"/>
        <v>Under 30</v>
      </c>
      <c r="S24">
        <f t="shared" si="1"/>
        <v>24</v>
      </c>
      <c r="T24" t="str">
        <f t="shared" si="2"/>
        <v>&gt;10 yrs</v>
      </c>
    </row>
    <row r="25" spans="1:20" x14ac:dyDescent="0.2">
      <c r="A25" s="1">
        <v>24</v>
      </c>
      <c r="B25" s="2">
        <v>43</v>
      </c>
      <c r="C25" s="2" t="s">
        <v>27</v>
      </c>
      <c r="D25" s="2" t="s">
        <v>49</v>
      </c>
      <c r="E25" s="2" t="s">
        <v>36</v>
      </c>
      <c r="F25" s="2" t="s">
        <v>46</v>
      </c>
      <c r="G25" s="3">
        <v>44624</v>
      </c>
      <c r="H25" s="2">
        <v>39</v>
      </c>
      <c r="I25" s="2" t="s">
        <v>43</v>
      </c>
      <c r="J25" s="2" t="s">
        <v>22</v>
      </c>
      <c r="K25" s="2" t="s">
        <v>45</v>
      </c>
      <c r="L25" s="2" t="s">
        <v>30</v>
      </c>
      <c r="M25" s="2">
        <v>0</v>
      </c>
      <c r="N25" s="2">
        <v>18</v>
      </c>
      <c r="O25" s="2" t="s">
        <v>25</v>
      </c>
      <c r="P25" s="2" t="s">
        <v>25</v>
      </c>
      <c r="Q25" s="2" t="s">
        <v>35</v>
      </c>
      <c r="R25" t="str">
        <f t="shared" si="0"/>
        <v>30–50</v>
      </c>
      <c r="S25">
        <f t="shared" si="1"/>
        <v>9</v>
      </c>
      <c r="T25" t="str">
        <f t="shared" si="2"/>
        <v>0–5 yrs</v>
      </c>
    </row>
    <row r="26" spans="1:20" x14ac:dyDescent="0.2">
      <c r="A26" s="1">
        <v>25</v>
      </c>
      <c r="B26" s="2">
        <v>21</v>
      </c>
      <c r="C26" s="2" t="s">
        <v>17</v>
      </c>
      <c r="D26" s="2" t="s">
        <v>49</v>
      </c>
      <c r="E26" s="2" t="s">
        <v>19</v>
      </c>
      <c r="F26" s="2" t="s">
        <v>20</v>
      </c>
      <c r="G26" s="3">
        <v>42482</v>
      </c>
      <c r="H26" s="2">
        <v>14</v>
      </c>
      <c r="I26" s="2" t="s">
        <v>48</v>
      </c>
      <c r="J26" s="2" t="s">
        <v>22</v>
      </c>
      <c r="K26" s="2" t="s">
        <v>23</v>
      </c>
      <c r="L26" s="2" t="s">
        <v>44</v>
      </c>
      <c r="M26" s="2">
        <v>29</v>
      </c>
      <c r="N26" s="2">
        <v>5</v>
      </c>
      <c r="O26" s="2" t="s">
        <v>25</v>
      </c>
      <c r="P26" s="2" t="s">
        <v>22</v>
      </c>
      <c r="Q26" s="2" t="s">
        <v>35</v>
      </c>
      <c r="R26" t="str">
        <f t="shared" si="0"/>
        <v>Under 30</v>
      </c>
      <c r="S26">
        <f t="shared" si="1"/>
        <v>17</v>
      </c>
      <c r="T26" t="str">
        <f t="shared" si="2"/>
        <v>0–5 yrs</v>
      </c>
    </row>
    <row r="27" spans="1:20" x14ac:dyDescent="0.2">
      <c r="A27" s="1">
        <v>26</v>
      </c>
      <c r="B27" s="2">
        <v>55</v>
      </c>
      <c r="C27" s="2" t="s">
        <v>17</v>
      </c>
      <c r="D27" s="2" t="s">
        <v>42</v>
      </c>
      <c r="E27" s="2" t="s">
        <v>28</v>
      </c>
      <c r="F27" s="2" t="s">
        <v>46</v>
      </c>
      <c r="G27" s="3">
        <v>42989</v>
      </c>
      <c r="H27" s="2">
        <v>192</v>
      </c>
      <c r="I27" s="2" t="s">
        <v>21</v>
      </c>
      <c r="J27" s="2" t="s">
        <v>22</v>
      </c>
      <c r="K27" s="2" t="s">
        <v>45</v>
      </c>
      <c r="L27" s="2" t="s">
        <v>30</v>
      </c>
      <c r="M27" s="2">
        <v>19</v>
      </c>
      <c r="N27" s="2">
        <v>25</v>
      </c>
      <c r="O27" s="2" t="s">
        <v>25</v>
      </c>
      <c r="P27" s="2" t="s">
        <v>25</v>
      </c>
      <c r="Q27" s="2" t="s">
        <v>31</v>
      </c>
      <c r="R27" t="str">
        <f t="shared" si="0"/>
        <v>Over 50</v>
      </c>
      <c r="S27">
        <f t="shared" si="1"/>
        <v>22</v>
      </c>
      <c r="T27" t="str">
        <f t="shared" si="2"/>
        <v>&gt;10 yrs</v>
      </c>
    </row>
    <row r="28" spans="1:20" x14ac:dyDescent="0.2">
      <c r="A28" s="1">
        <v>27</v>
      </c>
      <c r="B28" s="2">
        <v>47</v>
      </c>
      <c r="C28" s="2" t="s">
        <v>27</v>
      </c>
      <c r="D28" s="2" t="s">
        <v>49</v>
      </c>
      <c r="E28" s="2" t="s">
        <v>19</v>
      </c>
      <c r="F28" s="2" t="s">
        <v>20</v>
      </c>
      <c r="G28" s="3">
        <v>42718</v>
      </c>
      <c r="H28" s="2">
        <v>134</v>
      </c>
      <c r="I28" s="2" t="s">
        <v>43</v>
      </c>
      <c r="J28" s="2" t="s">
        <v>22</v>
      </c>
      <c r="K28" s="2" t="s">
        <v>38</v>
      </c>
      <c r="L28" s="2" t="s">
        <v>30</v>
      </c>
      <c r="M28" s="2">
        <v>9</v>
      </c>
      <c r="N28" s="2">
        <v>36</v>
      </c>
      <c r="O28" s="2" t="s">
        <v>25</v>
      </c>
      <c r="P28" s="2" t="s">
        <v>22</v>
      </c>
      <c r="Q28" s="2" t="s">
        <v>29</v>
      </c>
      <c r="R28" t="str">
        <f t="shared" si="0"/>
        <v>30–50</v>
      </c>
      <c r="S28">
        <f t="shared" si="1"/>
        <v>22.5</v>
      </c>
      <c r="T28" t="str">
        <f t="shared" si="2"/>
        <v>&gt;10 yrs</v>
      </c>
    </row>
    <row r="29" spans="1:20" x14ac:dyDescent="0.2">
      <c r="A29" s="1">
        <v>28</v>
      </c>
      <c r="B29" s="2">
        <v>74</v>
      </c>
      <c r="C29" s="2" t="s">
        <v>27</v>
      </c>
      <c r="D29" s="2" t="s">
        <v>42</v>
      </c>
      <c r="E29" s="2" t="s">
        <v>28</v>
      </c>
      <c r="F29" s="2" t="s">
        <v>33</v>
      </c>
      <c r="G29" s="3">
        <v>43352</v>
      </c>
      <c r="H29" s="2">
        <v>42</v>
      </c>
      <c r="I29" s="2" t="s">
        <v>43</v>
      </c>
      <c r="J29" s="2" t="s">
        <v>25</v>
      </c>
      <c r="K29" s="2" t="s">
        <v>40</v>
      </c>
      <c r="L29" s="2" t="s">
        <v>24</v>
      </c>
      <c r="M29" s="2">
        <v>4</v>
      </c>
      <c r="N29" s="2">
        <v>8</v>
      </c>
      <c r="O29" s="2" t="s">
        <v>25</v>
      </c>
      <c r="P29" s="2" t="s">
        <v>22</v>
      </c>
      <c r="Q29" s="2" t="s">
        <v>29</v>
      </c>
      <c r="R29" t="str">
        <f t="shared" si="0"/>
        <v>Over 50</v>
      </c>
      <c r="S29">
        <f t="shared" si="1"/>
        <v>6</v>
      </c>
      <c r="T29" t="str">
        <f t="shared" si="2"/>
        <v>0–5 yrs</v>
      </c>
    </row>
    <row r="30" spans="1:20" x14ac:dyDescent="0.2">
      <c r="A30" s="1">
        <v>29</v>
      </c>
      <c r="B30" s="2">
        <v>60</v>
      </c>
      <c r="C30" s="2" t="s">
        <v>27</v>
      </c>
      <c r="D30" s="2" t="s">
        <v>42</v>
      </c>
      <c r="E30" s="2" t="s">
        <v>28</v>
      </c>
      <c r="F30" s="2" t="s">
        <v>33</v>
      </c>
      <c r="G30" s="3">
        <v>41816</v>
      </c>
      <c r="H30" s="2">
        <v>226</v>
      </c>
      <c r="I30" s="2" t="s">
        <v>21</v>
      </c>
      <c r="J30" s="2" t="s">
        <v>22</v>
      </c>
      <c r="K30" s="2" t="s">
        <v>23</v>
      </c>
      <c r="L30" s="2" t="s">
        <v>44</v>
      </c>
      <c r="M30" s="2">
        <v>18</v>
      </c>
      <c r="N30" s="2">
        <v>0</v>
      </c>
      <c r="O30" s="2" t="s">
        <v>25</v>
      </c>
      <c r="P30" s="2" t="s">
        <v>22</v>
      </c>
      <c r="Q30" s="2" t="s">
        <v>31</v>
      </c>
      <c r="R30" t="str">
        <f t="shared" si="0"/>
        <v>Over 50</v>
      </c>
      <c r="S30">
        <f t="shared" si="1"/>
        <v>9</v>
      </c>
      <c r="T30" t="str">
        <f t="shared" si="2"/>
        <v>&gt;10 yrs</v>
      </c>
    </row>
    <row r="31" spans="1:20" x14ac:dyDescent="0.2">
      <c r="A31" s="1">
        <v>30</v>
      </c>
      <c r="B31" s="2">
        <v>28</v>
      </c>
      <c r="C31" s="2" t="s">
        <v>27</v>
      </c>
      <c r="D31" s="2" t="s">
        <v>32</v>
      </c>
      <c r="E31" s="2" t="s">
        <v>28</v>
      </c>
      <c r="F31" s="2" t="s">
        <v>46</v>
      </c>
      <c r="G31" s="3">
        <v>43753</v>
      </c>
      <c r="H31" s="2">
        <v>151</v>
      </c>
      <c r="I31" s="2" t="s">
        <v>43</v>
      </c>
      <c r="J31" s="2" t="s">
        <v>25</v>
      </c>
      <c r="K31" s="2" t="s">
        <v>34</v>
      </c>
      <c r="L31" s="2" t="s">
        <v>47</v>
      </c>
      <c r="M31" s="2">
        <v>31</v>
      </c>
      <c r="N31" s="2">
        <v>13</v>
      </c>
      <c r="O31" s="2" t="s">
        <v>25</v>
      </c>
      <c r="P31" s="2" t="s">
        <v>22</v>
      </c>
      <c r="Q31" s="2" t="s">
        <v>35</v>
      </c>
      <c r="R31" t="str">
        <f t="shared" si="0"/>
        <v>Under 30</v>
      </c>
      <c r="S31">
        <f t="shared" si="1"/>
        <v>22</v>
      </c>
      <c r="T31" t="str">
        <f t="shared" si="2"/>
        <v>&gt;10 yrs</v>
      </c>
    </row>
    <row r="32" spans="1:20" x14ac:dyDescent="0.2">
      <c r="A32" s="1">
        <v>31</v>
      </c>
      <c r="B32" s="2">
        <v>22</v>
      </c>
      <c r="C32" s="2" t="s">
        <v>17</v>
      </c>
      <c r="D32" s="2" t="s">
        <v>42</v>
      </c>
      <c r="E32" s="2" t="s">
        <v>28</v>
      </c>
      <c r="F32" s="2" t="s">
        <v>33</v>
      </c>
      <c r="G32" s="3">
        <v>44207</v>
      </c>
      <c r="H32" s="2">
        <v>90</v>
      </c>
      <c r="I32" s="2" t="s">
        <v>48</v>
      </c>
      <c r="J32" s="2" t="s">
        <v>22</v>
      </c>
      <c r="K32" s="2" t="s">
        <v>40</v>
      </c>
      <c r="L32" s="2" t="s">
        <v>44</v>
      </c>
      <c r="M32" s="2">
        <v>20</v>
      </c>
      <c r="N32" s="2">
        <v>20</v>
      </c>
      <c r="O32" s="2" t="s">
        <v>22</v>
      </c>
      <c r="P32" s="2" t="s">
        <v>25</v>
      </c>
      <c r="Q32" s="2" t="s">
        <v>35</v>
      </c>
      <c r="R32" t="str">
        <f t="shared" si="0"/>
        <v>Under 30</v>
      </c>
      <c r="S32">
        <f t="shared" si="1"/>
        <v>20</v>
      </c>
      <c r="T32" t="str">
        <f t="shared" si="2"/>
        <v>5–10 yrs</v>
      </c>
    </row>
    <row r="33" spans="1:20" x14ac:dyDescent="0.2">
      <c r="A33" s="1">
        <v>32</v>
      </c>
      <c r="B33" s="2">
        <v>28</v>
      </c>
      <c r="C33" s="2" t="s">
        <v>27</v>
      </c>
      <c r="D33" s="2" t="s">
        <v>49</v>
      </c>
      <c r="E33" s="2" t="s">
        <v>36</v>
      </c>
      <c r="F33" s="2" t="s">
        <v>20</v>
      </c>
      <c r="G33" s="3">
        <v>44488</v>
      </c>
      <c r="H33" s="2">
        <v>58</v>
      </c>
      <c r="I33" s="2" t="s">
        <v>48</v>
      </c>
      <c r="J33" s="2" t="s">
        <v>25</v>
      </c>
      <c r="K33" s="2" t="s">
        <v>45</v>
      </c>
      <c r="L33" s="2" t="s">
        <v>24</v>
      </c>
      <c r="M33" s="2">
        <v>27</v>
      </c>
      <c r="N33" s="2">
        <v>4</v>
      </c>
      <c r="O33" s="2" t="s">
        <v>22</v>
      </c>
      <c r="P33" s="2" t="s">
        <v>22</v>
      </c>
      <c r="Q33" s="2" t="s">
        <v>29</v>
      </c>
      <c r="R33" t="str">
        <f t="shared" si="0"/>
        <v>Under 30</v>
      </c>
      <c r="S33">
        <f t="shared" si="1"/>
        <v>15.5</v>
      </c>
      <c r="T33" t="str">
        <f t="shared" si="2"/>
        <v>0–5 yrs</v>
      </c>
    </row>
    <row r="34" spans="1:20" x14ac:dyDescent="0.2">
      <c r="A34" s="1">
        <v>33</v>
      </c>
      <c r="B34" s="2">
        <v>24</v>
      </c>
      <c r="C34" s="2" t="s">
        <v>27</v>
      </c>
      <c r="D34" s="2" t="s">
        <v>18</v>
      </c>
      <c r="E34" s="2" t="s">
        <v>28</v>
      </c>
      <c r="F34" s="2" t="s">
        <v>20</v>
      </c>
      <c r="G34" s="3">
        <v>42750</v>
      </c>
      <c r="H34" s="2">
        <v>58</v>
      </c>
      <c r="I34" s="2" t="s">
        <v>48</v>
      </c>
      <c r="J34" s="2" t="s">
        <v>25</v>
      </c>
      <c r="K34" s="2" t="s">
        <v>23</v>
      </c>
      <c r="L34" s="2" t="s">
        <v>44</v>
      </c>
      <c r="M34" s="2">
        <v>34</v>
      </c>
      <c r="N34" s="2">
        <v>0</v>
      </c>
      <c r="O34" s="2" t="s">
        <v>22</v>
      </c>
      <c r="P34" s="2" t="s">
        <v>25</v>
      </c>
      <c r="Q34" s="2" t="s">
        <v>35</v>
      </c>
      <c r="R34" t="str">
        <f t="shared" si="0"/>
        <v>Under 30</v>
      </c>
      <c r="S34">
        <f t="shared" si="1"/>
        <v>17</v>
      </c>
      <c r="T34" t="str">
        <f t="shared" si="2"/>
        <v>0–5 yrs</v>
      </c>
    </row>
    <row r="35" spans="1:20" x14ac:dyDescent="0.2">
      <c r="A35" s="1">
        <v>34</v>
      </c>
      <c r="B35" s="2">
        <v>48</v>
      </c>
      <c r="C35" s="2" t="s">
        <v>27</v>
      </c>
      <c r="D35" s="2" t="s">
        <v>32</v>
      </c>
      <c r="E35" s="2" t="s">
        <v>36</v>
      </c>
      <c r="F35" s="2" t="s">
        <v>20</v>
      </c>
      <c r="G35" s="3">
        <v>44254</v>
      </c>
      <c r="H35" s="2">
        <v>193</v>
      </c>
      <c r="I35" s="2" t="s">
        <v>29</v>
      </c>
      <c r="J35" s="2" t="s">
        <v>25</v>
      </c>
      <c r="K35" s="2" t="s">
        <v>45</v>
      </c>
      <c r="L35" s="2" t="s">
        <v>47</v>
      </c>
      <c r="M35" s="2">
        <v>23</v>
      </c>
      <c r="N35" s="2">
        <v>12</v>
      </c>
      <c r="O35" s="2" t="s">
        <v>25</v>
      </c>
      <c r="P35" s="2" t="s">
        <v>25</v>
      </c>
      <c r="Q35" s="2" t="s">
        <v>26</v>
      </c>
      <c r="R35" t="str">
        <f t="shared" si="0"/>
        <v>30–50</v>
      </c>
      <c r="S35">
        <f t="shared" si="1"/>
        <v>17.5</v>
      </c>
      <c r="T35" t="str">
        <f t="shared" si="2"/>
        <v>&gt;10 yrs</v>
      </c>
    </row>
    <row r="36" spans="1:20" x14ac:dyDescent="0.2">
      <c r="A36" s="1">
        <v>35</v>
      </c>
      <c r="B36" s="2">
        <v>56</v>
      </c>
      <c r="C36" s="2" t="s">
        <v>27</v>
      </c>
      <c r="D36" s="2" t="s">
        <v>49</v>
      </c>
      <c r="E36" s="2" t="s">
        <v>36</v>
      </c>
      <c r="F36" s="2" t="s">
        <v>20</v>
      </c>
      <c r="G36" s="3">
        <v>43909</v>
      </c>
      <c r="H36" s="2">
        <v>49</v>
      </c>
      <c r="I36" s="2" t="s">
        <v>29</v>
      </c>
      <c r="J36" s="2" t="s">
        <v>25</v>
      </c>
      <c r="K36" s="2" t="s">
        <v>23</v>
      </c>
      <c r="L36" s="2" t="s">
        <v>47</v>
      </c>
      <c r="M36" s="2">
        <v>20</v>
      </c>
      <c r="N36" s="2">
        <v>22</v>
      </c>
      <c r="O36" s="2" t="s">
        <v>25</v>
      </c>
      <c r="P36" s="2" t="s">
        <v>22</v>
      </c>
      <c r="Q36" s="2" t="s">
        <v>29</v>
      </c>
      <c r="R36" t="str">
        <f t="shared" si="0"/>
        <v>Over 50</v>
      </c>
      <c r="S36">
        <f t="shared" si="1"/>
        <v>21</v>
      </c>
      <c r="T36" t="str">
        <f t="shared" si="2"/>
        <v>0–5 yrs</v>
      </c>
    </row>
    <row r="37" spans="1:20" x14ac:dyDescent="0.2">
      <c r="A37" s="1">
        <v>36</v>
      </c>
      <c r="B37" s="2">
        <v>73</v>
      </c>
      <c r="C37" s="2" t="s">
        <v>17</v>
      </c>
      <c r="D37" s="2" t="s">
        <v>49</v>
      </c>
      <c r="E37" s="2" t="s">
        <v>36</v>
      </c>
      <c r="F37" s="2" t="s">
        <v>46</v>
      </c>
      <c r="G37" s="3">
        <v>43096</v>
      </c>
      <c r="H37" s="2">
        <v>112</v>
      </c>
      <c r="I37" s="2" t="s">
        <v>48</v>
      </c>
      <c r="J37" s="2" t="s">
        <v>22</v>
      </c>
      <c r="K37" s="2" t="s">
        <v>45</v>
      </c>
      <c r="L37" s="2" t="s">
        <v>30</v>
      </c>
      <c r="M37" s="2">
        <v>17</v>
      </c>
      <c r="N37" s="2">
        <v>38</v>
      </c>
      <c r="O37" s="2" t="s">
        <v>25</v>
      </c>
      <c r="P37" s="2" t="s">
        <v>22</v>
      </c>
      <c r="Q37" s="2" t="s">
        <v>26</v>
      </c>
      <c r="R37" t="str">
        <f t="shared" si="0"/>
        <v>Over 50</v>
      </c>
      <c r="S37">
        <f t="shared" si="1"/>
        <v>27.5</v>
      </c>
      <c r="T37" t="str">
        <f t="shared" si="2"/>
        <v>5–10 yrs</v>
      </c>
    </row>
    <row r="38" spans="1:20" x14ac:dyDescent="0.2">
      <c r="A38" s="1">
        <v>37</v>
      </c>
      <c r="B38" s="2">
        <v>70</v>
      </c>
      <c r="C38" s="2" t="s">
        <v>17</v>
      </c>
      <c r="D38" s="2" t="s">
        <v>49</v>
      </c>
      <c r="E38" s="2" t="s">
        <v>36</v>
      </c>
      <c r="F38" s="2" t="s">
        <v>46</v>
      </c>
      <c r="G38" s="3">
        <v>42829</v>
      </c>
      <c r="H38" s="2">
        <v>141</v>
      </c>
      <c r="I38" s="2" t="s">
        <v>48</v>
      </c>
      <c r="J38" s="2" t="s">
        <v>25</v>
      </c>
      <c r="K38" s="2" t="s">
        <v>34</v>
      </c>
      <c r="L38" s="2" t="s">
        <v>44</v>
      </c>
      <c r="M38" s="2">
        <v>37</v>
      </c>
      <c r="N38" s="2">
        <v>25</v>
      </c>
      <c r="O38" s="2" t="s">
        <v>22</v>
      </c>
      <c r="P38" s="2" t="s">
        <v>25</v>
      </c>
      <c r="Q38" s="2" t="s">
        <v>29</v>
      </c>
      <c r="R38" t="str">
        <f t="shared" si="0"/>
        <v>Over 50</v>
      </c>
      <c r="S38">
        <f t="shared" si="1"/>
        <v>31</v>
      </c>
      <c r="T38" t="str">
        <f t="shared" si="2"/>
        <v>&gt;10 yrs</v>
      </c>
    </row>
    <row r="39" spans="1:20" x14ac:dyDescent="0.2">
      <c r="A39" s="1">
        <v>38</v>
      </c>
      <c r="B39" s="2">
        <v>33</v>
      </c>
      <c r="C39" s="2" t="s">
        <v>27</v>
      </c>
      <c r="D39" s="2" t="s">
        <v>32</v>
      </c>
      <c r="E39" s="2" t="s">
        <v>28</v>
      </c>
      <c r="F39" s="2" t="s">
        <v>39</v>
      </c>
      <c r="G39" s="3">
        <v>43607</v>
      </c>
      <c r="H39" s="2">
        <v>160</v>
      </c>
      <c r="I39" s="2" t="s">
        <v>48</v>
      </c>
      <c r="J39" s="2" t="s">
        <v>25</v>
      </c>
      <c r="K39" s="2" t="s">
        <v>38</v>
      </c>
      <c r="L39" s="2" t="s">
        <v>44</v>
      </c>
      <c r="M39" s="2">
        <v>38</v>
      </c>
      <c r="N39" s="2">
        <v>21</v>
      </c>
      <c r="O39" s="2" t="s">
        <v>22</v>
      </c>
      <c r="P39" s="2" t="s">
        <v>22</v>
      </c>
      <c r="Q39" s="2" t="s">
        <v>29</v>
      </c>
      <c r="R39" t="str">
        <f t="shared" si="0"/>
        <v>30–50</v>
      </c>
      <c r="S39">
        <f t="shared" si="1"/>
        <v>29.5</v>
      </c>
      <c r="T39" t="str">
        <f t="shared" si="2"/>
        <v>&gt;10 yrs</v>
      </c>
    </row>
    <row r="40" spans="1:20" x14ac:dyDescent="0.2">
      <c r="A40" s="1">
        <v>39</v>
      </c>
      <c r="B40" s="2">
        <v>41</v>
      </c>
      <c r="C40" s="2" t="s">
        <v>17</v>
      </c>
      <c r="D40" s="2" t="s">
        <v>42</v>
      </c>
      <c r="E40" s="2" t="s">
        <v>36</v>
      </c>
      <c r="F40" s="2" t="s">
        <v>39</v>
      </c>
      <c r="G40" s="3">
        <v>42003</v>
      </c>
      <c r="H40" s="2">
        <v>134</v>
      </c>
      <c r="I40" s="2" t="s">
        <v>29</v>
      </c>
      <c r="J40" s="2" t="s">
        <v>22</v>
      </c>
      <c r="K40" s="2" t="s">
        <v>40</v>
      </c>
      <c r="L40" s="2" t="s">
        <v>30</v>
      </c>
      <c r="M40" s="2">
        <v>8</v>
      </c>
      <c r="N40" s="2">
        <v>31</v>
      </c>
      <c r="O40" s="2" t="s">
        <v>22</v>
      </c>
      <c r="P40" s="2" t="s">
        <v>22</v>
      </c>
      <c r="Q40" s="2" t="s">
        <v>35</v>
      </c>
      <c r="R40" t="str">
        <f t="shared" si="0"/>
        <v>30–50</v>
      </c>
      <c r="S40">
        <f t="shared" si="1"/>
        <v>19.5</v>
      </c>
      <c r="T40" t="str">
        <f t="shared" si="2"/>
        <v>&gt;10 yrs</v>
      </c>
    </row>
    <row r="41" spans="1:20" x14ac:dyDescent="0.2">
      <c r="A41" s="1">
        <v>40</v>
      </c>
      <c r="B41" s="2">
        <v>58</v>
      </c>
      <c r="C41" s="2" t="s">
        <v>17</v>
      </c>
      <c r="D41" s="2" t="s">
        <v>49</v>
      </c>
      <c r="E41" s="2" t="s">
        <v>36</v>
      </c>
      <c r="F41" s="2" t="s">
        <v>39</v>
      </c>
      <c r="G41" s="3">
        <v>43822</v>
      </c>
      <c r="H41" s="2">
        <v>160</v>
      </c>
      <c r="I41" s="2" t="s">
        <v>37</v>
      </c>
      <c r="J41" s="2" t="s">
        <v>25</v>
      </c>
      <c r="K41" s="2" t="s">
        <v>45</v>
      </c>
      <c r="L41" s="2" t="s">
        <v>30</v>
      </c>
      <c r="M41" s="2">
        <v>36</v>
      </c>
      <c r="N41" s="2">
        <v>4</v>
      </c>
      <c r="O41" s="2" t="s">
        <v>25</v>
      </c>
      <c r="P41" s="2" t="s">
        <v>22</v>
      </c>
      <c r="Q41" s="2" t="s">
        <v>31</v>
      </c>
      <c r="R41" t="str">
        <f t="shared" si="0"/>
        <v>Over 50</v>
      </c>
      <c r="S41">
        <f t="shared" si="1"/>
        <v>20</v>
      </c>
      <c r="T41" t="str">
        <f t="shared" si="2"/>
        <v>&gt;10 yrs</v>
      </c>
    </row>
    <row r="42" spans="1:20" x14ac:dyDescent="0.2">
      <c r="A42" s="1">
        <v>41</v>
      </c>
      <c r="B42" s="2">
        <v>65</v>
      </c>
      <c r="C42" s="2" t="s">
        <v>17</v>
      </c>
      <c r="D42" s="2" t="s">
        <v>32</v>
      </c>
      <c r="E42" s="2" t="s">
        <v>36</v>
      </c>
      <c r="F42" s="2" t="s">
        <v>46</v>
      </c>
      <c r="G42" s="3">
        <v>43405</v>
      </c>
      <c r="H42" s="2">
        <v>134</v>
      </c>
      <c r="I42" s="2" t="s">
        <v>37</v>
      </c>
      <c r="J42" s="2" t="s">
        <v>25</v>
      </c>
      <c r="K42" s="2" t="s">
        <v>38</v>
      </c>
      <c r="L42" s="2" t="s">
        <v>30</v>
      </c>
      <c r="M42" s="2">
        <v>3</v>
      </c>
      <c r="N42" s="2">
        <v>4</v>
      </c>
      <c r="O42" s="2" t="s">
        <v>25</v>
      </c>
      <c r="P42" s="2" t="s">
        <v>22</v>
      </c>
      <c r="Q42" s="2" t="s">
        <v>31</v>
      </c>
      <c r="R42" t="str">
        <f t="shared" si="0"/>
        <v>Over 50</v>
      </c>
      <c r="S42">
        <f t="shared" si="1"/>
        <v>3.5</v>
      </c>
      <c r="T42" t="str">
        <f t="shared" si="2"/>
        <v>&gt;10 yrs</v>
      </c>
    </row>
    <row r="43" spans="1:20" x14ac:dyDescent="0.2">
      <c r="A43" s="1">
        <v>42</v>
      </c>
      <c r="B43" s="2">
        <v>58</v>
      </c>
      <c r="C43" s="2" t="s">
        <v>27</v>
      </c>
      <c r="D43" s="2" t="s">
        <v>49</v>
      </c>
      <c r="E43" s="2" t="s">
        <v>36</v>
      </c>
      <c r="F43" s="2" t="s">
        <v>20</v>
      </c>
      <c r="G43" s="3">
        <v>44058</v>
      </c>
      <c r="H43" s="2">
        <v>140</v>
      </c>
      <c r="I43" s="2" t="s">
        <v>43</v>
      </c>
      <c r="J43" s="2" t="s">
        <v>25</v>
      </c>
      <c r="K43" s="2" t="s">
        <v>23</v>
      </c>
      <c r="L43" s="2" t="s">
        <v>47</v>
      </c>
      <c r="M43" s="2">
        <v>17</v>
      </c>
      <c r="N43" s="2">
        <v>34</v>
      </c>
      <c r="O43" s="2" t="s">
        <v>22</v>
      </c>
      <c r="P43" s="2" t="s">
        <v>22</v>
      </c>
      <c r="Q43" s="2" t="s">
        <v>35</v>
      </c>
      <c r="R43" t="str">
        <f t="shared" si="0"/>
        <v>Over 50</v>
      </c>
      <c r="S43">
        <f t="shared" si="1"/>
        <v>25.5</v>
      </c>
      <c r="T43" t="str">
        <f t="shared" si="2"/>
        <v>&gt;10 yrs</v>
      </c>
    </row>
    <row r="44" spans="1:20" x14ac:dyDescent="0.2">
      <c r="A44" s="1">
        <v>43</v>
      </c>
      <c r="B44" s="2">
        <v>49</v>
      </c>
      <c r="C44" s="2" t="s">
        <v>17</v>
      </c>
      <c r="D44" s="2" t="s">
        <v>42</v>
      </c>
      <c r="E44" s="2" t="s">
        <v>28</v>
      </c>
      <c r="F44" s="2" t="s">
        <v>39</v>
      </c>
      <c r="G44" s="3">
        <v>44025</v>
      </c>
      <c r="H44" s="2">
        <v>193</v>
      </c>
      <c r="I44" s="2" t="s">
        <v>21</v>
      </c>
      <c r="J44" s="2" t="s">
        <v>22</v>
      </c>
      <c r="K44" s="2" t="s">
        <v>40</v>
      </c>
      <c r="L44" s="2" t="s">
        <v>30</v>
      </c>
      <c r="M44" s="2">
        <v>9</v>
      </c>
      <c r="N44" s="2">
        <v>24</v>
      </c>
      <c r="O44" s="2" t="s">
        <v>22</v>
      </c>
      <c r="P44" s="2" t="s">
        <v>22</v>
      </c>
      <c r="Q44" s="2" t="s">
        <v>35</v>
      </c>
      <c r="R44" t="str">
        <f t="shared" si="0"/>
        <v>30–50</v>
      </c>
      <c r="S44">
        <f t="shared" si="1"/>
        <v>16.5</v>
      </c>
      <c r="T44" t="str">
        <f t="shared" si="2"/>
        <v>&gt;10 yrs</v>
      </c>
    </row>
    <row r="45" spans="1:20" x14ac:dyDescent="0.2">
      <c r="A45" s="1">
        <v>44</v>
      </c>
      <c r="B45" s="2">
        <v>69</v>
      </c>
      <c r="C45" s="2" t="s">
        <v>17</v>
      </c>
      <c r="D45" s="2" t="s">
        <v>18</v>
      </c>
      <c r="E45" s="2" t="s">
        <v>28</v>
      </c>
      <c r="F45" s="2" t="s">
        <v>46</v>
      </c>
      <c r="G45" s="3">
        <v>43493</v>
      </c>
      <c r="H45" s="2">
        <v>217</v>
      </c>
      <c r="I45" s="2" t="s">
        <v>48</v>
      </c>
      <c r="J45" s="2" t="s">
        <v>22</v>
      </c>
      <c r="K45" s="2" t="s">
        <v>40</v>
      </c>
      <c r="L45" s="2" t="s">
        <v>30</v>
      </c>
      <c r="M45" s="2">
        <v>28</v>
      </c>
      <c r="N45" s="2">
        <v>37</v>
      </c>
      <c r="O45" s="2" t="s">
        <v>22</v>
      </c>
      <c r="P45" s="2" t="s">
        <v>25</v>
      </c>
      <c r="Q45" s="2" t="s">
        <v>29</v>
      </c>
      <c r="R45" t="str">
        <f t="shared" si="0"/>
        <v>Over 50</v>
      </c>
      <c r="S45">
        <f t="shared" si="1"/>
        <v>32.5</v>
      </c>
      <c r="T45" t="str">
        <f t="shared" si="2"/>
        <v>&gt;10 yrs</v>
      </c>
    </row>
    <row r="46" spans="1:20" x14ac:dyDescent="0.2">
      <c r="A46" s="1">
        <v>45</v>
      </c>
      <c r="B46" s="2">
        <v>37</v>
      </c>
      <c r="C46" s="2" t="s">
        <v>27</v>
      </c>
      <c r="D46" s="2" t="s">
        <v>49</v>
      </c>
      <c r="E46" s="2" t="s">
        <v>28</v>
      </c>
      <c r="F46" s="2" t="s">
        <v>46</v>
      </c>
      <c r="G46" s="3">
        <v>43858</v>
      </c>
      <c r="H46" s="2">
        <v>34</v>
      </c>
      <c r="I46" s="2" t="s">
        <v>21</v>
      </c>
      <c r="J46" s="2" t="s">
        <v>25</v>
      </c>
      <c r="K46" s="2" t="s">
        <v>34</v>
      </c>
      <c r="L46" s="2" t="s">
        <v>30</v>
      </c>
      <c r="M46" s="2">
        <v>37</v>
      </c>
      <c r="N46" s="2">
        <v>40</v>
      </c>
      <c r="O46" s="2" t="s">
        <v>22</v>
      </c>
      <c r="P46" s="2" t="s">
        <v>22</v>
      </c>
      <c r="Q46" s="2" t="s">
        <v>31</v>
      </c>
      <c r="R46" t="str">
        <f t="shared" si="0"/>
        <v>30–50</v>
      </c>
      <c r="S46">
        <f t="shared" si="1"/>
        <v>38.5</v>
      </c>
      <c r="T46" t="str">
        <f t="shared" si="2"/>
        <v>0–5 yrs</v>
      </c>
    </row>
    <row r="47" spans="1:20" x14ac:dyDescent="0.2">
      <c r="A47" s="1">
        <v>46</v>
      </c>
      <c r="B47" s="2">
        <v>22</v>
      </c>
      <c r="C47" s="2" t="s">
        <v>27</v>
      </c>
      <c r="D47" s="2" t="s">
        <v>18</v>
      </c>
      <c r="E47" s="2" t="s">
        <v>19</v>
      </c>
      <c r="F47" s="2" t="s">
        <v>46</v>
      </c>
      <c r="G47" s="3">
        <v>42425</v>
      </c>
      <c r="H47" s="2">
        <v>207</v>
      </c>
      <c r="I47" s="2" t="s">
        <v>29</v>
      </c>
      <c r="J47" s="2" t="s">
        <v>25</v>
      </c>
      <c r="K47" s="2" t="s">
        <v>23</v>
      </c>
      <c r="L47" s="2" t="s">
        <v>41</v>
      </c>
      <c r="M47" s="2">
        <v>16</v>
      </c>
      <c r="N47" s="2">
        <v>10</v>
      </c>
      <c r="O47" s="2" t="s">
        <v>25</v>
      </c>
      <c r="P47" s="2" t="s">
        <v>22</v>
      </c>
      <c r="Q47" s="2" t="s">
        <v>31</v>
      </c>
      <c r="R47" t="str">
        <f t="shared" si="0"/>
        <v>Under 30</v>
      </c>
      <c r="S47">
        <f t="shared" si="1"/>
        <v>13</v>
      </c>
      <c r="T47" t="str">
        <f t="shared" si="2"/>
        <v>&gt;10 yrs</v>
      </c>
    </row>
    <row r="48" spans="1:20" x14ac:dyDescent="0.2">
      <c r="A48" s="1">
        <v>47</v>
      </c>
      <c r="B48" s="2">
        <v>63</v>
      </c>
      <c r="C48" s="2" t="s">
        <v>27</v>
      </c>
      <c r="D48" s="2" t="s">
        <v>32</v>
      </c>
      <c r="E48" s="2" t="s">
        <v>36</v>
      </c>
      <c r="F48" s="2" t="s">
        <v>20</v>
      </c>
      <c r="G48" s="3">
        <v>42392</v>
      </c>
      <c r="H48" s="2">
        <v>154</v>
      </c>
      <c r="I48" s="2" t="s">
        <v>21</v>
      </c>
      <c r="J48" s="2" t="s">
        <v>22</v>
      </c>
      <c r="K48" s="2" t="s">
        <v>34</v>
      </c>
      <c r="L48" s="2" t="s">
        <v>30</v>
      </c>
      <c r="M48" s="2">
        <v>13</v>
      </c>
      <c r="N48" s="2">
        <v>15</v>
      </c>
      <c r="O48" s="2" t="s">
        <v>22</v>
      </c>
      <c r="P48" s="2" t="s">
        <v>22</v>
      </c>
      <c r="Q48" s="2" t="s">
        <v>35</v>
      </c>
      <c r="R48" t="str">
        <f t="shared" si="0"/>
        <v>Over 50</v>
      </c>
      <c r="S48">
        <f t="shared" si="1"/>
        <v>14</v>
      </c>
      <c r="T48" t="str">
        <f t="shared" si="2"/>
        <v>&gt;10 yrs</v>
      </c>
    </row>
    <row r="49" spans="1:20" x14ac:dyDescent="0.2">
      <c r="A49" s="1">
        <v>48</v>
      </c>
      <c r="B49" s="2">
        <v>46</v>
      </c>
      <c r="C49" s="2" t="s">
        <v>17</v>
      </c>
      <c r="D49" s="2" t="s">
        <v>49</v>
      </c>
      <c r="E49" s="2" t="s">
        <v>36</v>
      </c>
      <c r="F49" s="2" t="s">
        <v>20</v>
      </c>
      <c r="G49" s="3">
        <v>42607</v>
      </c>
      <c r="H49" s="2">
        <v>11</v>
      </c>
      <c r="I49" s="2" t="s">
        <v>21</v>
      </c>
      <c r="J49" s="2" t="s">
        <v>22</v>
      </c>
      <c r="K49" s="2" t="s">
        <v>45</v>
      </c>
      <c r="L49" s="2" t="s">
        <v>30</v>
      </c>
      <c r="M49" s="2">
        <v>40</v>
      </c>
      <c r="N49" s="2">
        <v>1</v>
      </c>
      <c r="O49" s="2" t="s">
        <v>22</v>
      </c>
      <c r="P49" s="2" t="s">
        <v>22</v>
      </c>
      <c r="Q49" s="2" t="s">
        <v>35</v>
      </c>
      <c r="R49" t="str">
        <f t="shared" si="0"/>
        <v>30–50</v>
      </c>
      <c r="S49">
        <f t="shared" si="1"/>
        <v>20.5</v>
      </c>
      <c r="T49" t="str">
        <f t="shared" si="2"/>
        <v>0–5 yrs</v>
      </c>
    </row>
    <row r="50" spans="1:20" x14ac:dyDescent="0.2">
      <c r="A50" s="1">
        <v>49</v>
      </c>
      <c r="B50" s="2">
        <v>31</v>
      </c>
      <c r="C50" s="2" t="s">
        <v>17</v>
      </c>
      <c r="D50" s="2" t="s">
        <v>18</v>
      </c>
      <c r="E50" s="2" t="s">
        <v>19</v>
      </c>
      <c r="F50" s="2" t="s">
        <v>33</v>
      </c>
      <c r="G50" s="3">
        <v>43919</v>
      </c>
      <c r="H50" s="2">
        <v>59</v>
      </c>
      <c r="I50" s="2" t="s">
        <v>21</v>
      </c>
      <c r="J50" s="2" t="s">
        <v>25</v>
      </c>
      <c r="K50" s="2" t="s">
        <v>40</v>
      </c>
      <c r="L50" s="2" t="s">
        <v>30</v>
      </c>
      <c r="M50" s="2">
        <v>40</v>
      </c>
      <c r="N50" s="2">
        <v>32</v>
      </c>
      <c r="O50" s="2" t="s">
        <v>22</v>
      </c>
      <c r="P50" s="2" t="s">
        <v>25</v>
      </c>
      <c r="Q50" s="2" t="s">
        <v>29</v>
      </c>
      <c r="R50" t="str">
        <f t="shared" si="0"/>
        <v>30–50</v>
      </c>
      <c r="S50">
        <f t="shared" si="1"/>
        <v>36</v>
      </c>
      <c r="T50" t="str">
        <f t="shared" si="2"/>
        <v>0–5 yrs</v>
      </c>
    </row>
    <row r="51" spans="1:20" x14ac:dyDescent="0.2">
      <c r="A51" s="1">
        <v>50</v>
      </c>
      <c r="B51" s="2">
        <v>72</v>
      </c>
      <c r="C51" s="2" t="s">
        <v>27</v>
      </c>
      <c r="D51" s="2" t="s">
        <v>18</v>
      </c>
      <c r="E51" s="2" t="s">
        <v>28</v>
      </c>
      <c r="F51" s="2" t="s">
        <v>46</v>
      </c>
      <c r="G51" s="3">
        <v>41845</v>
      </c>
      <c r="H51" s="2">
        <v>22</v>
      </c>
      <c r="I51" s="2" t="s">
        <v>21</v>
      </c>
      <c r="J51" s="2" t="s">
        <v>25</v>
      </c>
      <c r="K51" s="2" t="s">
        <v>45</v>
      </c>
      <c r="L51" s="2" t="s">
        <v>30</v>
      </c>
      <c r="M51" s="2">
        <v>28</v>
      </c>
      <c r="N51" s="2">
        <v>5</v>
      </c>
      <c r="O51" s="2" t="s">
        <v>22</v>
      </c>
      <c r="P51" s="2" t="s">
        <v>22</v>
      </c>
      <c r="Q51" s="2" t="s">
        <v>26</v>
      </c>
      <c r="R51" t="str">
        <f t="shared" si="0"/>
        <v>Over 50</v>
      </c>
      <c r="S51">
        <f t="shared" si="1"/>
        <v>16.5</v>
      </c>
      <c r="T51" t="str">
        <f t="shared" si="2"/>
        <v>0–5 yrs</v>
      </c>
    </row>
    <row r="52" spans="1:20" x14ac:dyDescent="0.2">
      <c r="A52" s="1">
        <v>51</v>
      </c>
      <c r="B52" s="2">
        <v>64</v>
      </c>
      <c r="C52" s="2" t="s">
        <v>17</v>
      </c>
      <c r="D52" s="2" t="s">
        <v>42</v>
      </c>
      <c r="E52" s="2" t="s">
        <v>19</v>
      </c>
      <c r="F52" s="2" t="s">
        <v>20</v>
      </c>
      <c r="G52" s="3">
        <v>42282</v>
      </c>
      <c r="H52" s="2">
        <v>108</v>
      </c>
      <c r="I52" s="2" t="s">
        <v>21</v>
      </c>
      <c r="J52" s="2" t="s">
        <v>25</v>
      </c>
      <c r="K52" s="2" t="s">
        <v>45</v>
      </c>
      <c r="L52" s="2" t="s">
        <v>47</v>
      </c>
      <c r="M52" s="2">
        <v>23</v>
      </c>
      <c r="N52" s="2">
        <v>3</v>
      </c>
      <c r="O52" s="2" t="s">
        <v>22</v>
      </c>
      <c r="P52" s="2" t="s">
        <v>25</v>
      </c>
      <c r="Q52" s="2" t="s">
        <v>26</v>
      </c>
      <c r="R52" t="str">
        <f t="shared" si="0"/>
        <v>Over 50</v>
      </c>
      <c r="S52">
        <f t="shared" si="1"/>
        <v>13</v>
      </c>
      <c r="T52" t="str">
        <f t="shared" si="2"/>
        <v>5–10 yrs</v>
      </c>
    </row>
    <row r="53" spans="1:20" x14ac:dyDescent="0.2">
      <c r="A53" s="1">
        <v>52</v>
      </c>
      <c r="B53" s="2">
        <v>28</v>
      </c>
      <c r="C53" s="2" t="s">
        <v>17</v>
      </c>
      <c r="D53" s="2" t="s">
        <v>42</v>
      </c>
      <c r="E53" s="2" t="s">
        <v>19</v>
      </c>
      <c r="F53" s="2" t="s">
        <v>20</v>
      </c>
      <c r="G53" s="3">
        <v>43219</v>
      </c>
      <c r="H53" s="2">
        <v>92</v>
      </c>
      <c r="I53" s="2" t="s">
        <v>37</v>
      </c>
      <c r="J53" s="2" t="s">
        <v>22</v>
      </c>
      <c r="K53" s="2" t="s">
        <v>34</v>
      </c>
      <c r="L53" s="2" t="s">
        <v>24</v>
      </c>
      <c r="M53" s="2">
        <v>40</v>
      </c>
      <c r="N53" s="2">
        <v>21</v>
      </c>
      <c r="O53" s="2" t="s">
        <v>22</v>
      </c>
      <c r="P53" s="2" t="s">
        <v>22</v>
      </c>
      <c r="Q53" s="2" t="s">
        <v>26</v>
      </c>
      <c r="R53" t="str">
        <f t="shared" si="0"/>
        <v>Under 30</v>
      </c>
      <c r="S53">
        <f t="shared" si="1"/>
        <v>30.5</v>
      </c>
      <c r="T53" t="str">
        <f t="shared" si="2"/>
        <v>5–10 yrs</v>
      </c>
    </row>
    <row r="54" spans="1:20" x14ac:dyDescent="0.2">
      <c r="A54" s="1">
        <v>53</v>
      </c>
      <c r="B54" s="2">
        <v>49</v>
      </c>
      <c r="C54" s="2" t="s">
        <v>27</v>
      </c>
      <c r="D54" s="2" t="s">
        <v>32</v>
      </c>
      <c r="E54" s="2" t="s">
        <v>36</v>
      </c>
      <c r="F54" s="2" t="s">
        <v>20</v>
      </c>
      <c r="G54" s="3">
        <v>42787</v>
      </c>
      <c r="H54" s="2">
        <v>236</v>
      </c>
      <c r="I54" s="2" t="s">
        <v>21</v>
      </c>
      <c r="J54" s="2" t="s">
        <v>22</v>
      </c>
      <c r="K54" s="2" t="s">
        <v>23</v>
      </c>
      <c r="L54" s="2" t="s">
        <v>47</v>
      </c>
      <c r="M54" s="2">
        <v>36</v>
      </c>
      <c r="N54" s="2">
        <v>28</v>
      </c>
      <c r="O54" s="2" t="s">
        <v>25</v>
      </c>
      <c r="P54" s="2" t="s">
        <v>25</v>
      </c>
      <c r="Q54" s="2" t="s">
        <v>35</v>
      </c>
      <c r="R54" t="str">
        <f t="shared" si="0"/>
        <v>30–50</v>
      </c>
      <c r="S54">
        <f t="shared" si="1"/>
        <v>32</v>
      </c>
      <c r="T54" t="str">
        <f t="shared" si="2"/>
        <v>&gt;10 yrs</v>
      </c>
    </row>
    <row r="55" spans="1:20" x14ac:dyDescent="0.2">
      <c r="A55" s="1">
        <v>54</v>
      </c>
      <c r="B55" s="2">
        <v>54</v>
      </c>
      <c r="C55" s="2" t="s">
        <v>17</v>
      </c>
      <c r="D55" s="2" t="s">
        <v>42</v>
      </c>
      <c r="E55" s="2" t="s">
        <v>36</v>
      </c>
      <c r="F55" s="2" t="s">
        <v>46</v>
      </c>
      <c r="G55" s="3">
        <v>44287</v>
      </c>
      <c r="H55" s="2">
        <v>65</v>
      </c>
      <c r="I55" s="2" t="s">
        <v>29</v>
      </c>
      <c r="J55" s="2" t="s">
        <v>25</v>
      </c>
      <c r="K55" s="2" t="s">
        <v>34</v>
      </c>
      <c r="L55" s="2" t="s">
        <v>44</v>
      </c>
      <c r="M55" s="2">
        <v>40</v>
      </c>
      <c r="N55" s="2">
        <v>36</v>
      </c>
      <c r="O55" s="2" t="s">
        <v>22</v>
      </c>
      <c r="P55" s="2" t="s">
        <v>25</v>
      </c>
      <c r="Q55" s="2" t="s">
        <v>35</v>
      </c>
      <c r="R55" t="str">
        <f t="shared" si="0"/>
        <v>Over 50</v>
      </c>
      <c r="S55">
        <f t="shared" si="1"/>
        <v>38</v>
      </c>
      <c r="T55" t="str">
        <f t="shared" si="2"/>
        <v>5–10 yrs</v>
      </c>
    </row>
    <row r="56" spans="1:20" x14ac:dyDescent="0.2">
      <c r="A56" s="1">
        <v>55</v>
      </c>
      <c r="B56" s="2">
        <v>49</v>
      </c>
      <c r="C56" s="2" t="s">
        <v>27</v>
      </c>
      <c r="D56" s="2" t="s">
        <v>18</v>
      </c>
      <c r="E56" s="2" t="s">
        <v>28</v>
      </c>
      <c r="F56" s="2" t="s">
        <v>39</v>
      </c>
      <c r="G56" s="3">
        <v>42956</v>
      </c>
      <c r="H56" s="2">
        <v>47</v>
      </c>
      <c r="I56" s="2" t="s">
        <v>48</v>
      </c>
      <c r="J56" s="2" t="s">
        <v>25</v>
      </c>
      <c r="K56" s="2" t="s">
        <v>45</v>
      </c>
      <c r="L56" s="2" t="s">
        <v>30</v>
      </c>
      <c r="M56" s="2">
        <v>11</v>
      </c>
      <c r="N56" s="2">
        <v>9</v>
      </c>
      <c r="O56" s="2" t="s">
        <v>22</v>
      </c>
      <c r="P56" s="2" t="s">
        <v>22</v>
      </c>
      <c r="Q56" s="2" t="s">
        <v>29</v>
      </c>
      <c r="R56" t="str">
        <f t="shared" si="0"/>
        <v>30–50</v>
      </c>
      <c r="S56">
        <f t="shared" si="1"/>
        <v>10</v>
      </c>
      <c r="T56" t="str">
        <f t="shared" si="2"/>
        <v>0–5 yrs</v>
      </c>
    </row>
    <row r="57" spans="1:20" x14ac:dyDescent="0.2">
      <c r="A57" s="1">
        <v>56</v>
      </c>
      <c r="B57" s="2">
        <v>61</v>
      </c>
      <c r="C57" s="2" t="s">
        <v>17</v>
      </c>
      <c r="D57" s="2" t="s">
        <v>32</v>
      </c>
      <c r="E57" s="2" t="s">
        <v>28</v>
      </c>
      <c r="F57" s="2" t="s">
        <v>20</v>
      </c>
      <c r="G57" s="3">
        <v>43471</v>
      </c>
      <c r="H57" s="2">
        <v>167</v>
      </c>
      <c r="I57" s="2" t="s">
        <v>21</v>
      </c>
      <c r="J57" s="2" t="s">
        <v>22</v>
      </c>
      <c r="K57" s="2" t="s">
        <v>23</v>
      </c>
      <c r="L57" s="2" t="s">
        <v>47</v>
      </c>
      <c r="M57" s="2">
        <v>38</v>
      </c>
      <c r="N57" s="2">
        <v>28</v>
      </c>
      <c r="O57" s="2" t="s">
        <v>22</v>
      </c>
      <c r="P57" s="2" t="s">
        <v>22</v>
      </c>
      <c r="Q57" s="2" t="s">
        <v>31</v>
      </c>
      <c r="R57" t="str">
        <f t="shared" si="0"/>
        <v>Over 50</v>
      </c>
      <c r="S57">
        <f t="shared" si="1"/>
        <v>33</v>
      </c>
      <c r="T57" t="str">
        <f t="shared" si="2"/>
        <v>&gt;10 yrs</v>
      </c>
    </row>
    <row r="58" spans="1:20" x14ac:dyDescent="0.2">
      <c r="A58" s="1">
        <v>57</v>
      </c>
      <c r="B58" s="2">
        <v>49</v>
      </c>
      <c r="C58" s="2" t="s">
        <v>17</v>
      </c>
      <c r="D58" s="2" t="s">
        <v>49</v>
      </c>
      <c r="E58" s="2" t="s">
        <v>28</v>
      </c>
      <c r="F58" s="2" t="s">
        <v>39</v>
      </c>
      <c r="G58" s="3">
        <v>41961</v>
      </c>
      <c r="H58" s="2">
        <v>24</v>
      </c>
      <c r="I58" s="2" t="s">
        <v>43</v>
      </c>
      <c r="J58" s="2" t="s">
        <v>22</v>
      </c>
      <c r="K58" s="2" t="s">
        <v>45</v>
      </c>
      <c r="L58" s="2" t="s">
        <v>44</v>
      </c>
      <c r="M58" s="2">
        <v>23</v>
      </c>
      <c r="N58" s="2">
        <v>26</v>
      </c>
      <c r="O58" s="2" t="s">
        <v>22</v>
      </c>
      <c r="P58" s="2" t="s">
        <v>22</v>
      </c>
      <c r="Q58" s="2" t="s">
        <v>35</v>
      </c>
      <c r="R58" t="str">
        <f t="shared" si="0"/>
        <v>30–50</v>
      </c>
      <c r="S58">
        <f t="shared" si="1"/>
        <v>24.5</v>
      </c>
      <c r="T58" t="str">
        <f t="shared" si="2"/>
        <v>0–5 yrs</v>
      </c>
    </row>
    <row r="59" spans="1:20" x14ac:dyDescent="0.2">
      <c r="A59" s="1">
        <v>58</v>
      </c>
      <c r="B59" s="2">
        <v>25</v>
      </c>
      <c r="C59" s="2" t="s">
        <v>27</v>
      </c>
      <c r="D59" s="2" t="s">
        <v>18</v>
      </c>
      <c r="E59" s="2" t="s">
        <v>36</v>
      </c>
      <c r="F59" s="2" t="s">
        <v>20</v>
      </c>
      <c r="G59" s="3">
        <v>44394</v>
      </c>
      <c r="H59" s="2">
        <v>84</v>
      </c>
      <c r="I59" s="2" t="s">
        <v>48</v>
      </c>
      <c r="J59" s="2" t="s">
        <v>25</v>
      </c>
      <c r="K59" s="2" t="s">
        <v>38</v>
      </c>
      <c r="L59" s="2" t="s">
        <v>24</v>
      </c>
      <c r="M59" s="2">
        <v>29</v>
      </c>
      <c r="N59" s="2">
        <v>3</v>
      </c>
      <c r="O59" s="2" t="s">
        <v>22</v>
      </c>
      <c r="P59" s="2" t="s">
        <v>22</v>
      </c>
      <c r="Q59" s="2" t="s">
        <v>31</v>
      </c>
      <c r="R59" t="str">
        <f t="shared" si="0"/>
        <v>Under 30</v>
      </c>
      <c r="S59">
        <f t="shared" si="1"/>
        <v>16</v>
      </c>
      <c r="T59" t="str">
        <f t="shared" si="2"/>
        <v>5–10 yrs</v>
      </c>
    </row>
    <row r="60" spans="1:20" x14ac:dyDescent="0.2">
      <c r="A60" s="1">
        <v>59</v>
      </c>
      <c r="B60" s="2">
        <v>38</v>
      </c>
      <c r="C60" s="2" t="s">
        <v>17</v>
      </c>
      <c r="D60" s="2" t="s">
        <v>49</v>
      </c>
      <c r="E60" s="2" t="s">
        <v>28</v>
      </c>
      <c r="F60" s="2" t="s">
        <v>39</v>
      </c>
      <c r="G60" s="3">
        <v>44342</v>
      </c>
      <c r="H60" s="2">
        <v>154</v>
      </c>
      <c r="I60" s="2" t="s">
        <v>37</v>
      </c>
      <c r="J60" s="2" t="s">
        <v>22</v>
      </c>
      <c r="K60" s="2" t="s">
        <v>34</v>
      </c>
      <c r="L60" s="2" t="s">
        <v>44</v>
      </c>
      <c r="M60" s="2">
        <v>32</v>
      </c>
      <c r="N60" s="2">
        <v>33</v>
      </c>
      <c r="O60" s="2" t="s">
        <v>22</v>
      </c>
      <c r="P60" s="2" t="s">
        <v>22</v>
      </c>
      <c r="Q60" s="2" t="s">
        <v>35</v>
      </c>
      <c r="R60" t="str">
        <f t="shared" si="0"/>
        <v>30–50</v>
      </c>
      <c r="S60">
        <f t="shared" si="1"/>
        <v>32.5</v>
      </c>
      <c r="T60" t="str">
        <f t="shared" si="2"/>
        <v>&gt;10 yrs</v>
      </c>
    </row>
    <row r="61" spans="1:20" x14ac:dyDescent="0.2">
      <c r="A61" s="1">
        <v>60</v>
      </c>
      <c r="B61" s="2">
        <v>19</v>
      </c>
      <c r="C61" s="2" t="s">
        <v>27</v>
      </c>
      <c r="D61" s="2" t="s">
        <v>18</v>
      </c>
      <c r="E61" s="2" t="s">
        <v>36</v>
      </c>
      <c r="F61" s="2" t="s">
        <v>39</v>
      </c>
      <c r="G61" s="3">
        <v>41831</v>
      </c>
      <c r="H61" s="2">
        <v>90</v>
      </c>
      <c r="I61" s="2" t="s">
        <v>29</v>
      </c>
      <c r="J61" s="2" t="s">
        <v>25</v>
      </c>
      <c r="K61" s="2" t="s">
        <v>23</v>
      </c>
      <c r="L61" s="2" t="s">
        <v>41</v>
      </c>
      <c r="M61" s="2">
        <v>17</v>
      </c>
      <c r="N61" s="2">
        <v>6</v>
      </c>
      <c r="O61" s="2" t="s">
        <v>25</v>
      </c>
      <c r="P61" s="2" t="s">
        <v>22</v>
      </c>
      <c r="Q61" s="2" t="s">
        <v>26</v>
      </c>
      <c r="R61" t="str">
        <f t="shared" si="0"/>
        <v>Under 30</v>
      </c>
      <c r="S61">
        <f t="shared" si="1"/>
        <v>11.5</v>
      </c>
      <c r="T61" t="str">
        <f t="shared" si="2"/>
        <v>5–10 yrs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Bhavikkumar Bhatt</dc:creator>
  <cp:lastModifiedBy>Zeel Bhavikkumar Bhatt</cp:lastModifiedBy>
  <dcterms:created xsi:type="dcterms:W3CDTF">2025-12-05T05:08:53Z</dcterms:created>
  <dcterms:modified xsi:type="dcterms:W3CDTF">2025-12-05T06:38:21Z</dcterms:modified>
</cp:coreProperties>
</file>